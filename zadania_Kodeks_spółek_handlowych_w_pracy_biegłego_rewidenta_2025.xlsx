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C45890-0AFA-4A13-BAAC-308A33E9AEEC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k.6. SA umorzenie akcji" sheetId="3" r:id="rId1"/>
    <sheet name="k. 9 Połączenie spółek" sheetId="5" r:id="rId2"/>
    <sheet name="k.10 połącz - etapowo 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F14" i="6"/>
  <c r="F11" i="6"/>
  <c r="F12" i="6"/>
  <c r="G11" i="6"/>
  <c r="G10" i="6"/>
  <c r="H37" i="5"/>
  <c r="K27" i="5"/>
  <c r="P41" i="3"/>
  <c r="P37" i="3"/>
  <c r="F10" i="6"/>
  <c r="G60" i="5"/>
  <c r="D40" i="5"/>
  <c r="G50" i="5"/>
  <c r="F23" i="5"/>
  <c r="C12" i="5"/>
  <c r="Q5" i="3" l="1"/>
  <c r="B22" i="3"/>
  <c r="K106" i="5"/>
  <c r="J102" i="5"/>
  <c r="L111" i="5"/>
  <c r="K111" i="5"/>
  <c r="G89" i="5"/>
  <c r="F89" i="5"/>
  <c r="L89" i="5"/>
  <c r="J101" i="5"/>
  <c r="J105" i="5"/>
  <c r="K102" i="5"/>
  <c r="K105" i="5" s="1"/>
  <c r="J122" i="5"/>
  <c r="J121" i="5"/>
  <c r="J120" i="5"/>
  <c r="J117" i="5"/>
  <c r="H88" i="5" s="1"/>
  <c r="J116" i="5"/>
  <c r="J115" i="5"/>
  <c r="K112" i="5"/>
  <c r="K110" i="5"/>
  <c r="K95" i="5"/>
  <c r="G90" i="5" s="1"/>
  <c r="K94" i="5"/>
  <c r="K97" i="5" s="1"/>
  <c r="K89" i="5"/>
  <c r="G88" i="5" s="1"/>
  <c r="K88" i="5"/>
  <c r="K90" i="5" s="1"/>
  <c r="J91" i="5" s="1"/>
  <c r="L124" i="5"/>
  <c r="K123" i="5"/>
  <c r="J123" i="5"/>
  <c r="K124" i="5" s="1"/>
  <c r="K118" i="5"/>
  <c r="J113" i="5"/>
  <c r="F91" i="5"/>
  <c r="J90" i="5"/>
  <c r="F90" i="5"/>
  <c r="F88" i="5"/>
  <c r="I89" i="5"/>
  <c r="H89" i="5"/>
  <c r="I88" i="5"/>
  <c r="D95" i="5"/>
  <c r="D92" i="5"/>
  <c r="D61" i="5"/>
  <c r="A78" i="5"/>
  <c r="D87" i="5"/>
  <c r="D88" i="5"/>
  <c r="D89" i="5"/>
  <c r="B78" i="5"/>
  <c r="D94" i="5" s="1"/>
  <c r="A77" i="5"/>
  <c r="B77" i="5"/>
  <c r="D62" i="5" s="1"/>
  <c r="J58" i="5"/>
  <c r="L82" i="5"/>
  <c r="K81" i="5"/>
  <c r="K76" i="5"/>
  <c r="J71" i="5"/>
  <c r="F59" i="5"/>
  <c r="K70" i="5"/>
  <c r="G59" i="5" s="1"/>
  <c r="K68" i="5"/>
  <c r="F58" i="5"/>
  <c r="K63" i="5"/>
  <c r="G58" i="5" s="1"/>
  <c r="I57" i="5"/>
  <c r="J80" i="5"/>
  <c r="H57" i="5" s="1"/>
  <c r="I56" i="5"/>
  <c r="J75" i="5"/>
  <c r="H56" i="5" s="1"/>
  <c r="J79" i="5"/>
  <c r="J78" i="5"/>
  <c r="J74" i="5"/>
  <c r="J73" i="5"/>
  <c r="L69" i="5"/>
  <c r="F57" i="5" s="1"/>
  <c r="K69" i="5"/>
  <c r="G57" i="5" s="1"/>
  <c r="L57" i="5"/>
  <c r="F56" i="5" s="1"/>
  <c r="K57" i="5"/>
  <c r="G56" i="5" s="1"/>
  <c r="K62" i="5"/>
  <c r="K56" i="5"/>
  <c r="K58" i="5" s="1"/>
  <c r="J59" i="5" s="1"/>
  <c r="D50" i="5"/>
  <c r="E48" i="5" s="1"/>
  <c r="E50" i="5" s="1"/>
  <c r="F49" i="5" s="1"/>
  <c r="B50" i="5"/>
  <c r="C48" i="5" s="1"/>
  <c r="C50" i="5" s="1"/>
  <c r="F48" i="5" s="1"/>
  <c r="D63" i="5"/>
  <c r="D58" i="5"/>
  <c r="D57" i="5"/>
  <c r="D56" i="5"/>
  <c r="K113" i="5" l="1"/>
  <c r="J114" i="5" s="1"/>
  <c r="J118" i="5"/>
  <c r="K119" i="5" s="1"/>
  <c r="K71" i="5"/>
  <c r="J72" i="5" s="1"/>
  <c r="H60" i="5"/>
  <c r="H92" i="5"/>
  <c r="G91" i="5"/>
  <c r="G92" i="5" s="1"/>
  <c r="D91" i="5"/>
  <c r="D90" i="5" s="1"/>
  <c r="J76" i="5"/>
  <c r="K77" i="5" s="1"/>
  <c r="K65" i="5"/>
  <c r="J81" i="5"/>
  <c r="K82" i="5" s="1"/>
  <c r="F50" i="5"/>
  <c r="F51" i="5" s="1"/>
  <c r="B68" i="5" s="1"/>
  <c r="D60" i="5"/>
  <c r="D59" i="5" s="1"/>
  <c r="G48" i="5"/>
  <c r="G52" i="5" s="1"/>
  <c r="G94" i="5" l="1"/>
  <c r="H93" i="5"/>
  <c r="H61" i="5"/>
  <c r="G62" i="5"/>
  <c r="G37" i="3"/>
  <c r="M32" i="3"/>
  <c r="M30" i="3"/>
  <c r="Q22" i="3"/>
  <c r="F30" i="3"/>
  <c r="I10" i="3"/>
  <c r="I6" i="3"/>
  <c r="G12" i="6"/>
  <c r="H14" i="6"/>
  <c r="D9" i="6"/>
  <c r="E9" i="6" s="1"/>
  <c r="F9" i="6" s="1"/>
  <c r="J97" i="5" l="1"/>
  <c r="J98" i="5" s="1"/>
  <c r="H94" i="5"/>
  <c r="J64" i="5"/>
  <c r="J65" i="5" s="1"/>
  <c r="J66" i="5" s="1"/>
  <c r="H62" i="5"/>
  <c r="I12" i="6"/>
  <c r="Q18" i="3" l="1"/>
  <c r="G32" i="3"/>
  <c r="P34" i="3"/>
  <c r="C5" i="5"/>
  <c r="C31" i="5"/>
  <c r="D5" i="5"/>
  <c r="G18" i="5" l="1"/>
  <c r="F21" i="5" s="1"/>
  <c r="G31" i="5"/>
  <c r="J40" i="5" s="1"/>
  <c r="C40" i="5"/>
  <c r="D12" i="5"/>
  <c r="G32" i="5" s="1"/>
  <c r="D34" i="5" s="1"/>
  <c r="C41" i="5" l="1"/>
  <c r="J41" i="5" s="1"/>
  <c r="E41" i="5" s="1"/>
  <c r="F20" i="5"/>
  <c r="H21" i="5" s="1"/>
  <c r="C42" i="5" l="1"/>
  <c r="C24" i="5"/>
  <c r="I24" i="5"/>
  <c r="B27" i="5" s="1"/>
  <c r="D41" i="5" l="1"/>
  <c r="E40" i="5"/>
  <c r="E42" i="5" s="1"/>
  <c r="C44" i="5"/>
  <c r="D42" i="5"/>
  <c r="D35" i="5"/>
  <c r="M22" i="3" l="1"/>
  <c r="M14" i="3"/>
  <c r="Q14" i="3" s="1"/>
  <c r="P14" i="3" s="1"/>
  <c r="N18" i="3" s="1"/>
  <c r="N15" i="3" l="1"/>
  <c r="M15" i="3"/>
  <c r="Q23" i="3" s="1"/>
  <c r="G31" i="3" s="1"/>
  <c r="I32" i="3"/>
  <c r="P32" i="3" s="1"/>
  <c r="H31" i="3"/>
  <c r="H22" i="3"/>
  <c r="I14" i="3"/>
  <c r="H13" i="3" s="1"/>
  <c r="B13" i="3"/>
  <c r="B28" i="3"/>
  <c r="P6" i="3" l="1"/>
  <c r="H26" i="3" s="1"/>
  <c r="I25" i="3"/>
  <c r="I21" i="3"/>
  <c r="P33" i="3"/>
  <c r="M31" i="3"/>
  <c r="P31" i="3" s="1"/>
  <c r="N21" i="3"/>
  <c r="H17" i="3"/>
  <c r="I18" i="3" s="1"/>
  <c r="P30" i="3" l="1"/>
  <c r="P35" i="3" s="1"/>
  <c r="F35" i="3"/>
  <c r="K37" i="3" l="1"/>
  <c r="K38" i="3" s="1"/>
  <c r="I11" i="6"/>
  <c r="I14" i="6" s="1"/>
  <c r="G14" i="6"/>
</calcChain>
</file>

<file path=xl/sharedStrings.xml><?xml version="1.0" encoding="utf-8"?>
<sst xmlns="http://schemas.openxmlformats.org/spreadsheetml/2006/main" count="250" uniqueCount="168">
  <si>
    <t>kapitał zakładowy</t>
  </si>
  <si>
    <t>liczba wszystkich akcji</t>
  </si>
  <si>
    <t>wartość nominalna akcji</t>
  </si>
  <si>
    <t>umorzenie</t>
  </si>
  <si>
    <t>akcji</t>
  </si>
  <si>
    <t>zł</t>
  </si>
  <si>
    <t>po umorzeniu</t>
  </si>
  <si>
    <t>liczba akcji</t>
  </si>
  <si>
    <t xml:space="preserve">wartość kapitału zakładowego </t>
  </si>
  <si>
    <t>Kapitał zakładowy</t>
  </si>
  <si>
    <t>Wn</t>
  </si>
  <si>
    <t>Ma</t>
  </si>
  <si>
    <t>Kapitał rezerwowy</t>
  </si>
  <si>
    <t>Aktywa - akcje własne</t>
  </si>
  <si>
    <t>Kapitał zapasowy</t>
  </si>
  <si>
    <t>nabycie akcji własnych</t>
  </si>
  <si>
    <t xml:space="preserve">zapłata za nabyte akcje </t>
  </si>
  <si>
    <t>rozliczenie zobowiązania</t>
  </si>
  <si>
    <t>zmniejszenie środków pienięznych</t>
  </si>
  <si>
    <t>KSIĘGOWANIA:</t>
  </si>
  <si>
    <t>NABYCIE AKCJI</t>
  </si>
  <si>
    <t>UMORZENIE AKCJI</t>
  </si>
  <si>
    <t>wyksięgowanie akcji własnych</t>
  </si>
  <si>
    <t>zmniejszenie kapitału zapasowego</t>
  </si>
  <si>
    <t>Wynik finansowy 2023</t>
  </si>
  <si>
    <t>dywidenda</t>
  </si>
  <si>
    <t>Zobowiązanie wob akcjonariusza</t>
  </si>
  <si>
    <t>Zobowiązania wob. Akcjonariuszy</t>
  </si>
  <si>
    <t>Inwestycje krótkoterminowe</t>
  </si>
  <si>
    <t>cena nabycia akcji</t>
  </si>
  <si>
    <t>Akcje własne (aktywa)</t>
  </si>
  <si>
    <t>Zobowiązania z tyt. nabycia akcji własnych</t>
  </si>
  <si>
    <t>ROZLICZENIE Z AKCJONARIUSZEM</t>
  </si>
  <si>
    <t>Wynik finansowy lat ubiegłych</t>
  </si>
  <si>
    <t>BO</t>
  </si>
  <si>
    <t>Kapitał własny przed umorzeniem</t>
  </si>
  <si>
    <t>Kapitał po umorzeniu i po podziale zysku</t>
  </si>
  <si>
    <t>A</t>
  </si>
  <si>
    <t>B</t>
  </si>
  <si>
    <t>Spółki</t>
  </si>
  <si>
    <t>wartość godziwa aktywów netto</t>
  </si>
  <si>
    <t>wartość nominalna</t>
  </si>
  <si>
    <t xml:space="preserve">Założenie - przejmującą jest A. </t>
  </si>
  <si>
    <t>Pytania:</t>
  </si>
  <si>
    <t>1) O ile udziałów należy podnieść kapitał A?</t>
  </si>
  <si>
    <t>to</t>
  </si>
  <si>
    <t>ekwiwalentem dla wartości przejmowanych aktywów netto w kwocie</t>
  </si>
  <si>
    <t>będzie</t>
  </si>
  <si>
    <t>udziałów spółki A.</t>
  </si>
  <si>
    <t>udziałów, z czego</t>
  </si>
  <si>
    <t>wspólnicy spółki B otrzymają</t>
  </si>
  <si>
    <t>2) Jaki jest zatem parytet wymiany?</t>
  </si>
  <si>
    <t>oraz dopłatę w kwocie</t>
  </si>
  <si>
    <t>Podstawa określenia parytetu</t>
  </si>
  <si>
    <t>przyjmujemy aktywa netto</t>
  </si>
  <si>
    <t>udziałów o wartości łącznej (wg aktywów netto)</t>
  </si>
  <si>
    <t>wspólnicy spółki A posiadali</t>
  </si>
  <si>
    <t xml:space="preserve">Przed połączeniem </t>
  </si>
  <si>
    <t>wspólnicy spółki B posiadali</t>
  </si>
  <si>
    <t>Sprawdzenie  - po połączeniu</t>
  </si>
  <si>
    <t xml:space="preserve">Zatem w związku z połączeniem zostanie wyemitowanych </t>
  </si>
  <si>
    <t xml:space="preserve">dodatkowo wspólnicy spółki B otrzymają dopłaty w kwocie łącznej </t>
  </si>
  <si>
    <t>wspólnicy spółki A posiadają</t>
  </si>
  <si>
    <t>wspólnicy spółki B posiadają</t>
  </si>
  <si>
    <t xml:space="preserve">plus </t>
  </si>
  <si>
    <t xml:space="preserve"> w gotówce</t>
  </si>
  <si>
    <t>w postaci</t>
  </si>
  <si>
    <t>udziałów spółki A, a ponadto,</t>
  </si>
  <si>
    <t>AKTYWA NETTO SPÓŁKI A PO WCHŁONIĘCIU SPÓŁKI B Z UWZGLĘDNIENIEM DOPŁAT NALEŻNYCH WSPÓLNIKOM SPÓŁKI B</t>
  </si>
  <si>
    <t>umorzenie akcji</t>
  </si>
  <si>
    <t>na skup akcji</t>
  </si>
  <si>
    <t>na wypłaty dla wspólników</t>
  </si>
  <si>
    <t>z podziału zysku</t>
  </si>
  <si>
    <t>Zobowiązania z tyt. dywidendy</t>
  </si>
  <si>
    <t>wyksięgowanie nadwyżki z aktywów - akcji własnych</t>
  </si>
  <si>
    <t>NADWYŻKA CENY NABYCIA AKCJI NAD ICH WARTOŚĆ NOMINALNĄ</t>
  </si>
  <si>
    <t>pomniejszenie kapitału rezerwowego utworzonego na ten cel</t>
  </si>
  <si>
    <t>PODZIAŁ ZYSKU NETTO ZA 2023</t>
  </si>
  <si>
    <t>na kap zap</t>
  </si>
  <si>
    <t>na kap rez</t>
  </si>
  <si>
    <t>kap rezer</t>
  </si>
  <si>
    <t>zmiana:</t>
  </si>
  <si>
    <t>ok, bo</t>
  </si>
  <si>
    <t>cena nabycia akcji własnych</t>
  </si>
  <si>
    <t>Powstawanie wartości firmy w połączeniach wykonanych w kilku transakcjach</t>
  </si>
  <si>
    <t>Wartość godziwa aktywów netto</t>
  </si>
  <si>
    <t>Suma wartości godziwej przejętych aktywów</t>
  </si>
  <si>
    <t>Wartość godziwa etapu przejęcia</t>
  </si>
  <si>
    <t>cena nabycia</t>
  </si>
  <si>
    <t>Uzyskana wartość firmy</t>
  </si>
  <si>
    <t>Etap I</t>
  </si>
  <si>
    <t>Etap II</t>
  </si>
  <si>
    <t>Etap III</t>
  </si>
  <si>
    <t>Razem</t>
  </si>
  <si>
    <t>data</t>
  </si>
  <si>
    <t>Inwestycje krótkotermniowe</t>
  </si>
  <si>
    <t>przeznaczyć na kapitał zapasowy</t>
  </si>
  <si>
    <t xml:space="preserve">Podział Wyniku finansowego </t>
  </si>
  <si>
    <t>kapitał zapsowy</t>
  </si>
  <si>
    <t>przeznaczyć na kapitał rezerwowy</t>
  </si>
  <si>
    <t>kapitał rezerwowy</t>
  </si>
  <si>
    <t>przeznaczyć na wypłatę dywidendy</t>
  </si>
  <si>
    <t>przeznaczyć na skup akcji własnych celem ich umorzenia</t>
  </si>
  <si>
    <t>Zatem dla wspólników spółki B   wyemitowanych zostanie łącznie</t>
  </si>
  <si>
    <t>Wartość majątku wspólników przed i po połączeniu pozostaje bez zmian, choć zmienia się forma tego majątku.</t>
  </si>
  <si>
    <t>Spółka z o.o. A</t>
  </si>
  <si>
    <t>Spółka z o.o.B</t>
  </si>
  <si>
    <t>Społka z o.o. A (po połaczeniu )</t>
  </si>
  <si>
    <t>Wyjaśnienia</t>
  </si>
  <si>
    <t>Aktywa</t>
  </si>
  <si>
    <t>Aktywa trwałe</t>
  </si>
  <si>
    <t>(120+26)</t>
  </si>
  <si>
    <t>Aktywa obrotowe</t>
  </si>
  <si>
    <t>(80+10)</t>
  </si>
  <si>
    <t>Pasywa</t>
  </si>
  <si>
    <t>Kapitał własny w tym:</t>
  </si>
  <si>
    <t>(30+20-0,5)</t>
  </si>
  <si>
    <t xml:space="preserve">         kapitał podstawowy</t>
  </si>
  <si>
    <t xml:space="preserve">         kapitał zapasowy</t>
  </si>
  <si>
    <t>Zobowiązania i rezerwy</t>
  </si>
  <si>
    <t>Wszystkie wartości  są wyrażone w wartościach bilansowych w tysiącach złotych</t>
  </si>
  <si>
    <t xml:space="preserve">parytet wyniamy </t>
  </si>
  <si>
    <t>20:30</t>
  </si>
  <si>
    <t>2:3</t>
  </si>
  <si>
    <t>1:1,5</t>
  </si>
  <si>
    <t xml:space="preserve">dopłaty dla wspólników </t>
  </si>
  <si>
    <t xml:space="preserve">         kapitał z roliczenia połączenia</t>
  </si>
  <si>
    <t>Wariant 1</t>
  </si>
  <si>
    <t>Społka Przejmowana  B</t>
  </si>
  <si>
    <t>Wartość wszystkich udziałów w Spółce Przejmowanej wyznaczona jako różnica aktywów oraz zobowiązań i rezerw na zobowiązania (tys. PLN)</t>
  </si>
  <si>
    <t xml:space="preserve">Dotychczasowy kapitał: 20 udziałów  </t>
  </si>
  <si>
    <t>Wartość wszystkich udziałów w Spółce Przejmującej wyznaczona jako różnica aktywów oraz zobowiązań i rezerw na zobowiązania (tys. PLN)</t>
  </si>
  <si>
    <t>Dotychczasowy kapitał:  20  udzałów</t>
  </si>
  <si>
    <t>aktywa razem</t>
  </si>
  <si>
    <t>zob. i rezerwy na zob.</t>
  </si>
  <si>
    <t>aktywa netto =kapitał własny</t>
  </si>
  <si>
    <t>Wartość jednego udziału w Spółce Przejmującej (tys.PLN)</t>
  </si>
  <si>
    <t>zasada racjonalności 13*1000 = 13000</t>
  </si>
  <si>
    <t>Społka Przejmująca A</t>
  </si>
  <si>
    <t>Wartość jednego udziału w Spółce Przejmowanej (tys. PLN)</t>
  </si>
  <si>
    <t>Wariant 2</t>
  </si>
  <si>
    <t>Stosunek wymiany udziałów w Spółce Przejmowanej B na udziały w Spółce Przejmującej</t>
  </si>
  <si>
    <t>Liczba nowo utworzonych udziałów w kapitale zakładowym Spółki Przejmującej A</t>
  </si>
  <si>
    <t>Dopłaty dla Wspólników Spółki Przejmowanej B</t>
  </si>
  <si>
    <t>Wyliczenie parytetu wymiany</t>
  </si>
  <si>
    <t>241-Rozliczenie połączenia</t>
  </si>
  <si>
    <t>przejęcie aktywa trwałe</t>
  </si>
  <si>
    <t>przejęcie aktywa obrotowe</t>
  </si>
  <si>
    <t>razem</t>
  </si>
  <si>
    <t>przejęcie kapitał zapasowy</t>
  </si>
  <si>
    <t>przejęcie rezerwy i zobowiązania</t>
  </si>
  <si>
    <t>Uchwała rozliczenie połączenia z kapitałem zapasowym</t>
  </si>
  <si>
    <t>SK Ct</t>
  </si>
  <si>
    <t>SK Dt</t>
  </si>
  <si>
    <t>Sk Ct</t>
  </si>
  <si>
    <t>(20+13)</t>
  </si>
  <si>
    <t>(10+10)</t>
  </si>
  <si>
    <t>(170+16+0,5)</t>
  </si>
  <si>
    <t>(10+10-(13+0,5-10))</t>
  </si>
  <si>
    <t>podwyższenie kapitału zakładowego</t>
  </si>
  <si>
    <t>-(13+0,5-10)</t>
  </si>
  <si>
    <t>umorzenie akcji własnych 30 000x10 zł</t>
  </si>
  <si>
    <t>liczba udziałów</t>
  </si>
  <si>
    <t xml:space="preserve">Aktywa netto spółki A zwiększą się o wartość  aktywów netto B , czyli o </t>
  </si>
  <si>
    <t>Biorąc pod uwagę fakt, że wartość  jednego udziału A wynosi</t>
  </si>
  <si>
    <t>wartość księgowa jednego udziału</t>
  </si>
  <si>
    <t>Procent udziałów</t>
  </si>
  <si>
    <t>Etapy nabywania udziałów  spółki przejmowanej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</si>
</sst>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_-* #,##0.00\ [$zł-415]_-;\-* #,##0.00\ [$zł-415]_-;_-* &quot;-&quot;??\ [$zł-415]_-;_-@_-"/>
    <numFmt numFmtId="166" formatCode="_-* #,##0\ _z_ł_-;\-* #,##0\ _z_ł_-;_-* &quot;-&quot;??\ _z_ł_-;_-@_-"/>
    <numFmt numFmtId="167" formatCode="_-* #,##0.0\ _z_ł_-;\-* #,##0.0\ _z_ł_-;_-* &quot;-&quot;??\ _z_ł_-;_-@_-"/>
    <numFmt numFmtId="168" formatCode="#,##0_ ;[Red]\-#,##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E"/>
      <charset val="238"/>
    </font>
    <font>
      <sz val="12"/>
      <color theme="1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2"/>
      <name val="Times New Roman"/>
      <family val="1"/>
      <charset val="238"/>
    </font>
    <font>
      <b/>
      <u/>
      <sz val="12"/>
      <color theme="1"/>
      <name val="Times New Roman"/>
      <family val="1"/>
      <charset val="238"/>
    </font>
    <font>
      <sz val="10"/>
      <color theme="1"/>
      <name val="Cambria"/>
      <family val="2"/>
      <charset val="238"/>
      <scheme val="major"/>
    </font>
    <font>
      <b/>
      <sz val="10"/>
      <color theme="1"/>
      <name val="Cambria"/>
      <family val="2"/>
      <charset val="238"/>
      <scheme val="major"/>
    </font>
    <font>
      <b/>
      <sz val="10"/>
      <color theme="0"/>
      <name val="Cambria"/>
      <family val="2"/>
      <charset val="238"/>
      <scheme val="major"/>
    </font>
    <font>
      <b/>
      <sz val="10"/>
      <name val="Cambria"/>
      <family val="2"/>
      <charset val="238"/>
      <scheme val="major"/>
    </font>
    <font>
      <sz val="10"/>
      <color rgb="FFFF0000"/>
      <name val="Cambria"/>
      <family val="2"/>
      <charset val="238"/>
      <scheme val="major"/>
    </font>
    <font>
      <sz val="11"/>
      <color rgb="FFFF0000"/>
      <name val="Calibri Light"/>
      <family val="2"/>
      <charset val="238"/>
    </font>
    <font>
      <b/>
      <sz val="12"/>
      <color theme="0"/>
      <name val="Times New Roman"/>
      <family val="1"/>
      <charset val="238"/>
    </font>
    <font>
      <sz val="12"/>
      <color theme="0"/>
      <name val="Times New Roman"/>
      <family val="1"/>
      <charset val="238"/>
    </font>
    <font>
      <b/>
      <i/>
      <sz val="12"/>
      <color theme="1"/>
      <name val="Times New Roman"/>
      <family val="1"/>
      <charset val="238"/>
    </font>
    <font>
      <i/>
      <sz val="12"/>
      <color theme="1"/>
      <name val="Times New Roman"/>
      <family val="1"/>
      <charset val="238"/>
    </font>
    <font>
      <sz val="10"/>
      <color theme="1"/>
      <name val="Cambria"/>
      <family val="1"/>
      <charset val="238"/>
      <scheme val="major"/>
    </font>
    <font>
      <b/>
      <sz val="12"/>
      <name val="Times New Roman"/>
      <family val="1"/>
      <charset val="238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45">
    <xf numFmtId="0" fontId="0" fillId="0" borderId="0" xfId="0"/>
    <xf numFmtId="0" fontId="3" fillId="0" borderId="9" xfId="0" applyFont="1" applyBorder="1"/>
    <xf numFmtId="4" fontId="3" fillId="0" borderId="9" xfId="0" applyNumberFormat="1" applyFont="1" applyBorder="1"/>
    <xf numFmtId="4" fontId="3" fillId="0" borderId="9" xfId="0" applyNumberFormat="1" applyFont="1" applyBorder="1" applyAlignment="1">
      <alignment wrapText="1"/>
    </xf>
    <xf numFmtId="0" fontId="4" fillId="0" borderId="9" xfId="0" applyFont="1" applyBorder="1"/>
    <xf numFmtId="0" fontId="3" fillId="0" borderId="0" xfId="0" applyFont="1"/>
    <xf numFmtId="0" fontId="5" fillId="0" borderId="9" xfId="0" applyFont="1" applyBorder="1"/>
    <xf numFmtId="4" fontId="5" fillId="0" borderId="9" xfId="0" applyNumberFormat="1" applyFont="1" applyBorder="1"/>
    <xf numFmtId="4" fontId="3" fillId="9" borderId="9" xfId="0" applyNumberFormat="1" applyFont="1" applyFill="1" applyBorder="1"/>
    <xf numFmtId="0" fontId="3" fillId="9" borderId="9" xfId="0" applyFont="1" applyFill="1" applyBorder="1"/>
    <xf numFmtId="0" fontId="4" fillId="9" borderId="9" xfId="0" applyFont="1" applyFill="1" applyBorder="1"/>
    <xf numFmtId="0" fontId="3" fillId="9" borderId="0" xfId="0" applyFont="1" applyFill="1"/>
    <xf numFmtId="4" fontId="6" fillId="9" borderId="9" xfId="0" applyNumberFormat="1" applyFont="1" applyFill="1" applyBorder="1"/>
    <xf numFmtId="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10" borderId="0" xfId="0" applyFont="1" applyFill="1"/>
    <xf numFmtId="4" fontId="3" fillId="10" borderId="0" xfId="0" applyNumberFormat="1" applyFont="1" applyFill="1"/>
    <xf numFmtId="165" fontId="3" fillId="0" borderId="0" xfId="3" applyNumberFormat="1" applyFont="1"/>
    <xf numFmtId="165" fontId="3" fillId="0" borderId="0" xfId="0" applyNumberFormat="1" applyFont="1"/>
    <xf numFmtId="164" fontId="3" fillId="0" borderId="0" xfId="3" applyFont="1"/>
    <xf numFmtId="164" fontId="3" fillId="0" borderId="0" xfId="0" applyNumberFormat="1" applyFont="1"/>
    <xf numFmtId="166" fontId="3" fillId="0" borderId="0" xfId="0" applyNumberFormat="1" applyFont="1"/>
    <xf numFmtId="44" fontId="3" fillId="0" borderId="0" xfId="1" applyFont="1"/>
    <xf numFmtId="0" fontId="7" fillId="0" borderId="0" xfId="0" applyFont="1"/>
    <xf numFmtId="167" fontId="3" fillId="0" borderId="0" xfId="0" applyNumberFormat="1" applyFont="1"/>
    <xf numFmtId="44" fontId="3" fillId="0" borderId="0" xfId="0" applyNumberFormat="1" applyFont="1"/>
    <xf numFmtId="9" fontId="3" fillId="0" borderId="0" xfId="2" applyFont="1"/>
    <xf numFmtId="3" fontId="3" fillId="0" borderId="0" xfId="0" applyNumberFormat="1" applyFont="1"/>
    <xf numFmtId="0" fontId="3" fillId="0" borderId="16" xfId="0" applyFont="1" applyBorder="1"/>
    <xf numFmtId="0" fontId="8" fillId="0" borderId="0" xfId="4" applyFont="1"/>
    <xf numFmtId="0" fontId="10" fillId="12" borderId="19" xfId="4" applyFont="1" applyFill="1" applyBorder="1" applyAlignment="1">
      <alignment horizontal="center" vertical="center" wrapText="1"/>
    </xf>
    <xf numFmtId="0" fontId="11" fillId="11" borderId="19" xfId="4" applyFont="1" applyFill="1" applyBorder="1" applyAlignment="1">
      <alignment horizontal="center" vertical="center" wrapText="1"/>
    </xf>
    <xf numFmtId="0" fontId="10" fillId="12" borderId="9" xfId="4" applyFont="1" applyFill="1" applyBorder="1" applyAlignment="1">
      <alignment horizontal="center" vertical="center" wrapText="1"/>
    </xf>
    <xf numFmtId="0" fontId="12" fillId="0" borderId="0" xfId="4" applyFont="1" applyAlignment="1">
      <alignment wrapText="1"/>
    </xf>
    <xf numFmtId="0" fontId="12" fillId="0" borderId="0" xfId="4" applyFont="1"/>
    <xf numFmtId="0" fontId="9" fillId="0" borderId="0" xfId="4" applyFont="1"/>
    <xf numFmtId="4" fontId="8" fillId="0" borderId="0" xfId="4" applyNumberFormat="1" applyFont="1" applyAlignment="1">
      <alignment wrapText="1"/>
    </xf>
    <xf numFmtId="4" fontId="11" fillId="3" borderId="9" xfId="4" applyNumberFormat="1" applyFont="1" applyFill="1" applyBorder="1" applyAlignment="1">
      <alignment horizontal="center" vertical="center" wrapText="1"/>
    </xf>
    <xf numFmtId="4" fontId="11" fillId="13" borderId="9" xfId="4" applyNumberFormat="1" applyFont="1" applyFill="1" applyBorder="1" applyAlignment="1">
      <alignment horizontal="center" vertical="center" wrapText="1"/>
    </xf>
    <xf numFmtId="4" fontId="9" fillId="13" borderId="9" xfId="4" applyNumberFormat="1" applyFont="1" applyFill="1" applyBorder="1" applyAlignment="1">
      <alignment horizontal="center" vertical="center" wrapText="1"/>
    </xf>
    <xf numFmtId="4" fontId="9" fillId="10" borderId="9" xfId="4" applyNumberFormat="1" applyFont="1" applyFill="1" applyBorder="1" applyAlignment="1">
      <alignment horizontal="center" vertical="center" wrapText="1"/>
    </xf>
    <xf numFmtId="4" fontId="8" fillId="0" borderId="0" xfId="4" applyNumberFormat="1" applyFont="1"/>
    <xf numFmtId="0" fontId="2" fillId="0" borderId="0" xfId="4"/>
    <xf numFmtId="2" fontId="9" fillId="10" borderId="9" xfId="4" applyNumberFormat="1" applyFont="1" applyFill="1" applyBorder="1" applyAlignment="1">
      <alignment horizontal="center" vertical="center" wrapText="1"/>
    </xf>
    <xf numFmtId="0" fontId="14" fillId="7" borderId="0" xfId="0" applyFont="1" applyFill="1"/>
    <xf numFmtId="0" fontId="15" fillId="7" borderId="0" xfId="0" applyFont="1" applyFill="1"/>
    <xf numFmtId="0" fontId="3" fillId="0" borderId="1" xfId="0" applyFont="1" applyBorder="1"/>
    <xf numFmtId="0" fontId="3" fillId="0" borderId="0" xfId="0" applyFont="1" applyAlignment="1">
      <alignment wrapText="1"/>
    </xf>
    <xf numFmtId="4" fontId="3" fillId="4" borderId="0" xfId="0" applyNumberFormat="1" applyFont="1" applyFill="1"/>
    <xf numFmtId="4" fontId="3" fillId="0" borderId="2" xfId="0" applyNumberFormat="1" applyFont="1" applyBorder="1"/>
    <xf numFmtId="4" fontId="3" fillId="5" borderId="0" xfId="0" applyNumberFormat="1" applyFont="1" applyFill="1"/>
    <xf numFmtId="4" fontId="3" fillId="0" borderId="3" xfId="0" applyNumberFormat="1" applyFont="1" applyBorder="1"/>
    <xf numFmtId="4" fontId="3" fillId="6" borderId="0" xfId="0" applyNumberFormat="1" applyFont="1" applyFill="1"/>
    <xf numFmtId="4" fontId="3" fillId="7" borderId="0" xfId="0" applyNumberFormat="1" applyFont="1" applyFill="1"/>
    <xf numFmtId="4" fontId="3" fillId="8" borderId="3" xfId="0" applyNumberFormat="1" applyFont="1" applyFill="1" applyBorder="1"/>
    <xf numFmtId="4" fontId="3" fillId="9" borderId="0" xfId="0" applyNumberFormat="1" applyFont="1" applyFill="1"/>
    <xf numFmtId="4" fontId="3" fillId="9" borderId="3" xfId="0" applyNumberFormat="1" applyFont="1" applyFill="1" applyBorder="1"/>
    <xf numFmtId="0" fontId="16" fillId="3" borderId="0" xfId="0" applyFont="1" applyFill="1"/>
    <xf numFmtId="0" fontId="3" fillId="3" borderId="0" xfId="0" applyFont="1" applyFill="1"/>
    <xf numFmtId="4" fontId="3" fillId="3" borderId="2" xfId="0" applyNumberFormat="1" applyFont="1" applyFill="1" applyBorder="1"/>
    <xf numFmtId="4" fontId="3" fillId="2" borderId="0" xfId="0" applyNumberFormat="1" applyFont="1" applyFill="1"/>
    <xf numFmtId="4" fontId="3" fillId="3" borderId="0" xfId="0" applyNumberFormat="1" applyFont="1" applyFill="1"/>
    <xf numFmtId="4" fontId="3" fillId="8" borderId="0" xfId="0" applyNumberFormat="1" applyFont="1" applyFill="1"/>
    <xf numFmtId="0" fontId="5" fillId="0" borderId="0" xfId="0" applyFont="1"/>
    <xf numFmtId="0" fontId="16" fillId="2" borderId="0" xfId="0" applyFont="1" applyFill="1"/>
    <xf numFmtId="0" fontId="3" fillId="2" borderId="0" xfId="0" applyFont="1" applyFill="1"/>
    <xf numFmtId="4" fontId="5" fillId="0" borderId="0" xfId="0" applyNumberFormat="1" applyFont="1"/>
    <xf numFmtId="4" fontId="3" fillId="2" borderId="3" xfId="0" applyNumberFormat="1" applyFont="1" applyFill="1" applyBorder="1"/>
    <xf numFmtId="0" fontId="5" fillId="8" borderId="0" xfId="0" applyFont="1" applyFill="1"/>
    <xf numFmtId="0" fontId="3" fillId="8" borderId="0" xfId="0" applyFont="1" applyFill="1"/>
    <xf numFmtId="0" fontId="3" fillId="0" borderId="0" xfId="0" applyFont="1" applyAlignment="1">
      <alignment horizontal="right"/>
    </xf>
    <xf numFmtId="0" fontId="17" fillId="0" borderId="0" xfId="0" applyFont="1"/>
    <xf numFmtId="4" fontId="17" fillId="0" borderId="0" xfId="0" applyNumberFormat="1" applyFont="1"/>
    <xf numFmtId="4" fontId="13" fillId="13" borderId="9" xfId="4" applyNumberFormat="1" applyFont="1" applyFill="1" applyBorder="1" applyAlignment="1">
      <alignment horizontal="center" vertical="center"/>
    </xf>
    <xf numFmtId="4" fontId="12" fillId="13" borderId="9" xfId="4" applyNumberFormat="1" applyFont="1" applyFill="1" applyBorder="1" applyAlignment="1">
      <alignment horizontal="center" vertical="center" wrapText="1"/>
    </xf>
    <xf numFmtId="4" fontId="8" fillId="3" borderId="9" xfId="4" applyNumberFormat="1" applyFont="1" applyFill="1" applyBorder="1" applyAlignment="1">
      <alignment horizontal="center" vertical="center" wrapText="1"/>
    </xf>
    <xf numFmtId="4" fontId="8" fillId="13" borderId="9" xfId="4" applyNumberFormat="1" applyFont="1" applyFill="1" applyBorder="1" applyAlignment="1">
      <alignment horizontal="center" vertical="center" wrapText="1"/>
    </xf>
    <xf numFmtId="2" fontId="8" fillId="13" borderId="9" xfId="4" applyNumberFormat="1" applyFont="1" applyFill="1" applyBorder="1" applyAlignment="1">
      <alignment horizontal="center" vertical="center" wrapText="1"/>
    </xf>
    <xf numFmtId="0" fontId="8" fillId="13" borderId="9" xfId="4" applyFont="1" applyFill="1" applyBorder="1" applyAlignment="1">
      <alignment horizontal="center" vertical="center" wrapText="1"/>
    </xf>
    <xf numFmtId="4" fontId="18" fillId="3" borderId="9" xfId="4" applyNumberFormat="1" applyFont="1" applyFill="1" applyBorder="1" applyAlignment="1">
      <alignment horizontal="center" vertical="center" wrapText="1"/>
    </xf>
    <xf numFmtId="0" fontId="19" fillId="0" borderId="0" xfId="4" applyFont="1"/>
    <xf numFmtId="0" fontId="19" fillId="0" borderId="0" xfId="4" applyFont="1" applyAlignment="1">
      <alignment horizontal="right"/>
    </xf>
    <xf numFmtId="3" fontId="19" fillId="0" borderId="0" xfId="4" applyNumberFormat="1" applyFont="1"/>
    <xf numFmtId="0" fontId="19" fillId="0" borderId="4" xfId="4" applyFont="1" applyBorder="1"/>
    <xf numFmtId="0" fontId="19" fillId="0" borderId="5" xfId="4" applyFont="1" applyBorder="1" applyAlignment="1">
      <alignment horizontal="center" wrapText="1"/>
    </xf>
    <xf numFmtId="0" fontId="19" fillId="0" borderId="6" xfId="4" applyFont="1" applyBorder="1" applyAlignment="1">
      <alignment horizontal="center" wrapText="1"/>
    </xf>
    <xf numFmtId="0" fontId="19" fillId="0" borderId="7" xfId="4" applyFont="1" applyBorder="1"/>
    <xf numFmtId="0" fontId="19" fillId="0" borderId="8" xfId="4" applyFont="1" applyBorder="1"/>
    <xf numFmtId="0" fontId="19" fillId="0" borderId="9" xfId="4" applyFont="1" applyBorder="1" applyAlignment="1">
      <alignment horizontal="center" wrapText="1"/>
    </xf>
    <xf numFmtId="0" fontId="19" fillId="0" borderId="10" xfId="4" applyFont="1" applyBorder="1" applyAlignment="1">
      <alignment horizontal="center" wrapText="1"/>
    </xf>
    <xf numFmtId="0" fontId="19" fillId="0" borderId="11" xfId="4" applyFont="1" applyBorder="1" applyAlignment="1">
      <alignment horizontal="center" wrapText="1"/>
    </xf>
    <xf numFmtId="14" fontId="19" fillId="0" borderId="8" xfId="4" applyNumberFormat="1" applyFont="1" applyBorder="1"/>
    <xf numFmtId="9" fontId="19" fillId="0" borderId="9" xfId="5" applyFont="1" applyBorder="1"/>
    <xf numFmtId="3" fontId="19" fillId="0" borderId="9" xfId="4" applyNumberFormat="1" applyFont="1" applyBorder="1" applyAlignment="1">
      <alignment horizontal="right"/>
    </xf>
    <xf numFmtId="3" fontId="19" fillId="0" borderId="9" xfId="4" applyNumberFormat="1" applyFont="1" applyBorder="1"/>
    <xf numFmtId="168" fontId="19" fillId="0" borderId="9" xfId="4" applyNumberFormat="1" applyFont="1" applyBorder="1"/>
    <xf numFmtId="168" fontId="19" fillId="0" borderId="11" xfId="4" applyNumberFormat="1" applyFont="1" applyBorder="1"/>
    <xf numFmtId="168" fontId="19" fillId="0" borderId="0" xfId="4" applyNumberFormat="1" applyFont="1"/>
    <xf numFmtId="0" fontId="19" fillId="0" borderId="12" xfId="4" applyFont="1" applyBorder="1"/>
    <xf numFmtId="0" fontId="19" fillId="0" borderId="13" xfId="4" applyFont="1" applyBorder="1"/>
    <xf numFmtId="168" fontId="19" fillId="0" borderId="14" xfId="4" applyNumberFormat="1" applyFont="1" applyBorder="1"/>
    <xf numFmtId="0" fontId="19" fillId="0" borderId="14" xfId="4" applyFont="1" applyBorder="1"/>
    <xf numFmtId="168" fontId="19" fillId="0" borderId="15" xfId="4" applyNumberFormat="1" applyFont="1" applyBorder="1"/>
    <xf numFmtId="49" fontId="3" fillId="9" borderId="9" xfId="0" applyNumberFormat="1" applyFont="1" applyFill="1" applyBorder="1" applyAlignment="1">
      <alignment horizontal="right"/>
    </xf>
    <xf numFmtId="49" fontId="3" fillId="0" borderId="9" xfId="0" applyNumberFormat="1" applyFont="1" applyBorder="1" applyAlignment="1">
      <alignment horizontal="right"/>
    </xf>
    <xf numFmtId="0" fontId="10" fillId="12" borderId="20" xfId="4" applyFont="1" applyFill="1" applyBorder="1" applyAlignment="1">
      <alignment horizontal="center" vertical="center" wrapText="1"/>
    </xf>
    <xf numFmtId="0" fontId="8" fillId="0" borderId="9" xfId="4" applyFont="1" applyBorder="1" applyAlignment="1">
      <alignment wrapText="1"/>
    </xf>
    <xf numFmtId="0" fontId="3" fillId="0" borderId="9" xfId="0" applyFont="1" applyBorder="1" applyAlignment="1">
      <alignment wrapText="1"/>
    </xf>
    <xf numFmtId="4" fontId="3" fillId="4" borderId="2" xfId="0" applyNumberFormat="1" applyFont="1" applyFill="1" applyBorder="1"/>
    <xf numFmtId="4" fontId="3" fillId="5" borderId="3" xfId="0" applyNumberFormat="1" applyFont="1" applyFill="1" applyBorder="1"/>
    <xf numFmtId="4" fontId="3" fillId="6" borderId="3" xfId="0" applyNumberFormat="1" applyFont="1" applyFill="1" applyBorder="1"/>
    <xf numFmtId="4" fontId="3" fillId="7" borderId="3" xfId="0" applyNumberFormat="1" applyFont="1" applyFill="1" applyBorder="1"/>
    <xf numFmtId="0" fontId="3" fillId="0" borderId="3" xfId="0" applyFont="1" applyBorder="1"/>
    <xf numFmtId="4" fontId="3" fillId="0" borderId="21" xfId="0" applyNumberFormat="1" applyFont="1" applyBorder="1"/>
    <xf numFmtId="4" fontId="3" fillId="0" borderId="1" xfId="0" applyNumberFormat="1" applyFont="1" applyBorder="1"/>
    <xf numFmtId="0" fontId="4" fillId="9" borderId="0" xfId="0" applyFont="1" applyFill="1"/>
    <xf numFmtId="0" fontId="3" fillId="9" borderId="0" xfId="0" applyFont="1" applyFill="1" applyAlignment="1">
      <alignment wrapText="1"/>
    </xf>
    <xf numFmtId="4" fontId="3" fillId="0" borderId="20" xfId="0" applyNumberFormat="1" applyFont="1" applyBorder="1"/>
    <xf numFmtId="0" fontId="3" fillId="0" borderId="21" xfId="0" applyFont="1" applyBorder="1"/>
    <xf numFmtId="0" fontId="3" fillId="9" borderId="21" xfId="0" applyFont="1" applyFill="1" applyBorder="1"/>
    <xf numFmtId="4" fontId="5" fillId="9" borderId="1" xfId="0" applyNumberFormat="1" applyFont="1" applyFill="1" applyBorder="1"/>
    <xf numFmtId="4" fontId="5" fillId="0" borderId="21" xfId="0" applyNumberFormat="1" applyFont="1" applyBorder="1"/>
    <xf numFmtId="49" fontId="3" fillId="0" borderId="0" xfId="0" applyNumberFormat="1" applyFont="1" applyAlignment="1">
      <alignment horizontal="right"/>
    </xf>
    <xf numFmtId="4" fontId="5" fillId="0" borderId="3" xfId="0" applyNumberFormat="1" applyFont="1" applyBorder="1"/>
    <xf numFmtId="4" fontId="3" fillId="9" borderId="1" xfId="0" applyNumberFormat="1" applyFont="1" applyFill="1" applyBorder="1"/>
    <xf numFmtId="4" fontId="3" fillId="0" borderId="0" xfId="0" applyNumberFormat="1" applyFont="1" applyAlignment="1">
      <alignment wrapText="1"/>
    </xf>
    <xf numFmtId="49" fontId="4" fillId="9" borderId="9" xfId="0" applyNumberFormat="1" applyFont="1" applyFill="1" applyBorder="1"/>
    <xf numFmtId="0" fontId="3" fillId="14" borderId="0" xfId="0" applyFont="1" applyFill="1"/>
    <xf numFmtId="4" fontId="3" fillId="14" borderId="0" xfId="0" applyNumberFormat="1" applyFont="1" applyFill="1"/>
    <xf numFmtId="0" fontId="3" fillId="14" borderId="0" xfId="0" applyFont="1" applyFill="1" applyAlignment="1">
      <alignment wrapText="1"/>
    </xf>
    <xf numFmtId="4" fontId="3" fillId="14" borderId="2" xfId="0" applyNumberFormat="1" applyFont="1" applyFill="1" applyBorder="1"/>
    <xf numFmtId="4" fontId="3" fillId="14" borderId="1" xfId="0" applyNumberFormat="1" applyFont="1" applyFill="1" applyBorder="1"/>
    <xf numFmtId="4" fontId="3" fillId="14" borderId="3" xfId="0" applyNumberFormat="1" applyFont="1" applyFill="1" applyBorder="1"/>
    <xf numFmtId="0" fontId="5" fillId="14" borderId="0" xfId="0" applyFont="1" applyFill="1"/>
    <xf numFmtId="165" fontId="5" fillId="14" borderId="0" xfId="3" applyNumberFormat="1" applyFont="1" applyFill="1"/>
    <xf numFmtId="44" fontId="5" fillId="0" borderId="0" xfId="0" applyNumberFormat="1" applyFont="1"/>
    <xf numFmtId="0" fontId="5" fillId="9" borderId="9" xfId="0" applyFont="1" applyFill="1" applyBorder="1"/>
    <xf numFmtId="4" fontId="5" fillId="9" borderId="9" xfId="0" applyNumberFormat="1" applyFont="1" applyFill="1" applyBorder="1"/>
    <xf numFmtId="4" fontId="19" fillId="9" borderId="9" xfId="0" applyNumberFormat="1" applyFont="1" applyFill="1" applyBorder="1"/>
    <xf numFmtId="4" fontId="5" fillId="14" borderId="9" xfId="0" applyNumberFormat="1" applyFont="1" applyFill="1" applyBorder="1"/>
    <xf numFmtId="0" fontId="19" fillId="0" borderId="9" xfId="4" applyFont="1" applyBorder="1" applyAlignment="1">
      <alignment horizontal="center"/>
    </xf>
    <xf numFmtId="0" fontId="19" fillId="0" borderId="7" xfId="4" applyFont="1" applyBorder="1" applyAlignment="1">
      <alignment horizontal="center"/>
    </xf>
    <xf numFmtId="0" fontId="9" fillId="11" borderId="17" xfId="4" applyFont="1" applyFill="1" applyBorder="1" applyAlignment="1">
      <alignment horizontal="center"/>
    </xf>
    <xf numFmtId="0" fontId="9" fillId="11" borderId="18" xfId="4" applyFont="1" applyFill="1" applyBorder="1" applyAlignment="1">
      <alignment horizontal="center"/>
    </xf>
  </cellXfs>
  <cellStyles count="6">
    <cellStyle name="Dziesiętny 2" xfId="3" xr:uid="{E430BDB9-F002-4C99-B510-A68DEE54DEF9}"/>
    <cellStyle name="Normalny" xfId="0" builtinId="0"/>
    <cellStyle name="Normalny 2" xfId="4" xr:uid="{DA64D1CC-45FA-4CD5-8047-E2D691938830}"/>
    <cellStyle name="Procentowy" xfId="2" builtinId="5"/>
    <cellStyle name="Procentowy 3" xfId="5" xr:uid="{DCA94913-F460-43E2-A9A6-6DE0422CEEFD}"/>
    <cellStyle name="Walutowy" xfId="1" builtinId="4"/>
  </cellStyles>
  <dxfs count="0"/>
  <tableStyles count="0" defaultTableStyle="TableStyleMedium2" defaultPivotStyle="PivotStyleMedium9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60</xdr:row>
      <xdr:rowOff>158750</xdr:rowOff>
    </xdr:from>
    <xdr:to>
      <xdr:col>9</xdr:col>
      <xdr:colOff>1041400</xdr:colOff>
      <xdr:row>63</xdr:row>
      <xdr:rowOff>260350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55D9682A-7C8B-96CF-BD9E-CBF5731D8592}"/>
            </a:ext>
          </a:extLst>
        </xdr:cNvPr>
        <xdr:cNvCxnSpPr/>
      </xdr:nvCxnSpPr>
      <xdr:spPr>
        <a:xfrm>
          <a:off x="13277850" y="15449550"/>
          <a:ext cx="2590800" cy="692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E96-605B-4083-A3A7-815678CC7D43}">
  <dimension ref="A1:R41"/>
  <sheetViews>
    <sheetView topLeftCell="K1" zoomScaleNormal="100" workbookViewId="0">
      <selection activeCell="I8" sqref="I8"/>
    </sheetView>
  </sheetViews>
  <sheetFormatPr defaultColWidth="8.77734375" defaultRowHeight="15.6" x14ac:dyDescent="0.3"/>
  <cols>
    <col min="1" max="1" width="26.5546875" style="5" bestFit="1" customWidth="1"/>
    <col min="2" max="2" width="12.5546875" style="5" bestFit="1" customWidth="1"/>
    <col min="3" max="3" width="10.109375" style="5" customWidth="1"/>
    <col min="4" max="4" width="2.109375" style="5" bestFit="1" customWidth="1"/>
    <col min="5" max="5" width="45.21875" style="5" customWidth="1"/>
    <col min="6" max="6" width="22.5546875" style="5" customWidth="1"/>
    <col min="7" max="7" width="14.109375" style="5" customWidth="1"/>
    <col min="8" max="9" width="12.109375" style="13" bestFit="1" customWidth="1"/>
    <col min="10" max="10" width="1.33203125" style="5" customWidth="1"/>
    <col min="11" max="11" width="29.6640625" style="5" bestFit="1" customWidth="1"/>
    <col min="12" max="12" width="0.77734375" style="5" customWidth="1"/>
    <col min="13" max="13" width="12.6640625" style="5" customWidth="1"/>
    <col min="14" max="14" width="13.33203125" style="5" customWidth="1"/>
    <col min="15" max="15" width="4.109375" style="5" customWidth="1"/>
    <col min="16" max="16" width="14.21875" style="5" customWidth="1"/>
    <col min="17" max="17" width="11.44140625" style="5" bestFit="1" customWidth="1"/>
    <col min="18" max="18" width="13.88671875" style="5" bestFit="1" customWidth="1"/>
    <col min="19" max="20" width="9.88671875" style="5" bestFit="1" customWidth="1"/>
    <col min="21" max="16384" width="8.77734375" style="5"/>
  </cols>
  <sheetData>
    <row r="1" spans="1:18" x14ac:dyDescent="0.3">
      <c r="E1" s="5" t="s">
        <v>19</v>
      </c>
    </row>
    <row r="2" spans="1:18" x14ac:dyDescent="0.3">
      <c r="D2" s="5">
        <v>0</v>
      </c>
      <c r="E2" s="45" t="s">
        <v>77</v>
      </c>
      <c r="F2" s="46"/>
      <c r="H2" s="13" t="s">
        <v>10</v>
      </c>
      <c r="I2" s="13" t="s">
        <v>11</v>
      </c>
      <c r="M2" s="47" t="s">
        <v>33</v>
      </c>
      <c r="N2" s="47"/>
      <c r="P2" s="47" t="s">
        <v>12</v>
      </c>
      <c r="Q2" s="47"/>
    </row>
    <row r="3" spans="1:18" x14ac:dyDescent="0.3">
      <c r="E3" s="48" t="s">
        <v>96</v>
      </c>
      <c r="F3" s="5" t="s">
        <v>97</v>
      </c>
      <c r="H3" s="13">
        <v>200000</v>
      </c>
      <c r="M3" s="109">
        <v>200000</v>
      </c>
      <c r="N3" s="13">
        <v>1250000</v>
      </c>
      <c r="P3" s="50"/>
      <c r="Q3" s="13">
        <v>300000</v>
      </c>
      <c r="R3" s="5" t="s">
        <v>34</v>
      </c>
    </row>
    <row r="4" spans="1:18" x14ac:dyDescent="0.3">
      <c r="F4" s="5" t="s">
        <v>98</v>
      </c>
      <c r="I4" s="13">
        <v>200000</v>
      </c>
      <c r="M4" s="110">
        <v>300000</v>
      </c>
      <c r="P4" s="52"/>
      <c r="Q4" s="51">
        <v>300000</v>
      </c>
      <c r="R4" s="5" t="s">
        <v>72</v>
      </c>
    </row>
    <row r="5" spans="1:18" x14ac:dyDescent="0.3">
      <c r="E5" s="48" t="s">
        <v>99</v>
      </c>
      <c r="F5" s="5" t="s">
        <v>97</v>
      </c>
      <c r="H5" s="13">
        <v>300000</v>
      </c>
      <c r="M5" s="111">
        <v>400000</v>
      </c>
      <c r="P5" s="52"/>
      <c r="Q5" s="54">
        <f>G34*-1</f>
        <v>350000</v>
      </c>
      <c r="R5" s="5" t="s">
        <v>72</v>
      </c>
    </row>
    <row r="6" spans="1:18" x14ac:dyDescent="0.3">
      <c r="F6" s="5" t="s">
        <v>100</v>
      </c>
      <c r="I6" s="13">
        <f>H5</f>
        <v>300000</v>
      </c>
      <c r="M6" s="112">
        <v>350000</v>
      </c>
      <c r="P6" s="55">
        <f>N15</f>
        <v>30000</v>
      </c>
      <c r="Q6" s="13"/>
    </row>
    <row r="7" spans="1:18" x14ac:dyDescent="0.3">
      <c r="E7" s="48" t="s">
        <v>101</v>
      </c>
      <c r="F7" s="5" t="s">
        <v>97</v>
      </c>
      <c r="H7" s="13">
        <v>400000</v>
      </c>
      <c r="M7" s="56"/>
      <c r="N7" s="11"/>
      <c r="O7" s="11"/>
      <c r="P7" s="57"/>
      <c r="Q7" s="13"/>
    </row>
    <row r="8" spans="1:18" x14ac:dyDescent="0.3">
      <c r="F8" s="5" t="s">
        <v>73</v>
      </c>
      <c r="I8" s="13">
        <v>400000</v>
      </c>
      <c r="M8" s="56"/>
      <c r="N8" s="11"/>
      <c r="O8" s="11"/>
      <c r="P8" s="57"/>
      <c r="Q8" s="13"/>
    </row>
    <row r="9" spans="1:18" ht="31.2" x14ac:dyDescent="0.3">
      <c r="E9" s="48" t="s">
        <v>102</v>
      </c>
      <c r="F9" s="5" t="s">
        <v>97</v>
      </c>
      <c r="H9" s="13">
        <v>350000</v>
      </c>
      <c r="P9" s="52"/>
    </row>
    <row r="10" spans="1:18" x14ac:dyDescent="0.3">
      <c r="F10" s="5" t="s">
        <v>100</v>
      </c>
      <c r="I10" s="13">
        <f>H9</f>
        <v>350000</v>
      </c>
      <c r="P10" s="13"/>
    </row>
    <row r="12" spans="1:18" ht="16.2" x14ac:dyDescent="0.35">
      <c r="D12" s="5">
        <v>1</v>
      </c>
      <c r="E12" s="58" t="s">
        <v>20</v>
      </c>
      <c r="F12" s="59"/>
      <c r="H12" s="13" t="s">
        <v>10</v>
      </c>
      <c r="I12" s="13" t="s">
        <v>11</v>
      </c>
    </row>
    <row r="13" spans="1:18" x14ac:dyDescent="0.3">
      <c r="A13" s="5" t="s">
        <v>0</v>
      </c>
      <c r="B13" s="13">
        <f>B14*B17</f>
        <v>2000000</v>
      </c>
      <c r="E13" s="5" t="s">
        <v>15</v>
      </c>
      <c r="F13" s="5" t="s">
        <v>13</v>
      </c>
      <c r="H13" s="13">
        <f>I14</f>
        <v>330000</v>
      </c>
      <c r="M13" s="47" t="s">
        <v>30</v>
      </c>
      <c r="N13" s="47"/>
      <c r="P13" s="47" t="s">
        <v>31</v>
      </c>
      <c r="Q13" s="47"/>
    </row>
    <row r="14" spans="1:18" x14ac:dyDescent="0.3">
      <c r="A14" s="5" t="s">
        <v>1</v>
      </c>
      <c r="B14" s="13">
        <v>200000</v>
      </c>
      <c r="E14" s="5" t="s">
        <v>15</v>
      </c>
      <c r="F14" s="5" t="s">
        <v>27</v>
      </c>
      <c r="I14" s="13">
        <f>B20</f>
        <v>330000</v>
      </c>
      <c r="M14" s="60">
        <f>B20</f>
        <v>330000</v>
      </c>
      <c r="N14" s="61">
        <v>300000</v>
      </c>
      <c r="P14" s="50">
        <f>Q14</f>
        <v>330000</v>
      </c>
      <c r="Q14" s="62">
        <f>M14</f>
        <v>330000</v>
      </c>
    </row>
    <row r="15" spans="1:18" x14ac:dyDescent="0.3">
      <c r="B15" s="13"/>
      <c r="M15" s="52" t="str">
        <f>IF(N14&gt;=M14,N14-M14,"")</f>
        <v/>
      </c>
      <c r="N15" s="63">
        <f>IF(N14&lt;=M14,M14-N14,"")</f>
        <v>30000</v>
      </c>
      <c r="P15" s="52"/>
      <c r="Q15" s="13"/>
    </row>
    <row r="16" spans="1:18" x14ac:dyDescent="0.3">
      <c r="B16" s="13"/>
      <c r="D16" s="5">
        <v>2</v>
      </c>
      <c r="E16" s="64" t="s">
        <v>32</v>
      </c>
    </row>
    <row r="17" spans="1:18" x14ac:dyDescent="0.3">
      <c r="A17" s="5" t="s">
        <v>2</v>
      </c>
      <c r="B17" s="13">
        <v>10</v>
      </c>
      <c r="E17" s="5" t="s">
        <v>16</v>
      </c>
      <c r="F17" s="5" t="s">
        <v>27</v>
      </c>
      <c r="H17" s="13">
        <f>I14</f>
        <v>330000</v>
      </c>
      <c r="K17" s="5" t="s">
        <v>17</v>
      </c>
      <c r="M17" s="47" t="s">
        <v>28</v>
      </c>
      <c r="N17" s="47"/>
      <c r="P17" s="47" t="s">
        <v>73</v>
      </c>
      <c r="Q17" s="47"/>
    </row>
    <row r="18" spans="1:18" x14ac:dyDescent="0.3">
      <c r="B18" s="13"/>
      <c r="E18" s="5" t="s">
        <v>16</v>
      </c>
      <c r="F18" s="5" t="s">
        <v>95</v>
      </c>
      <c r="I18" s="13">
        <f>H17</f>
        <v>330000</v>
      </c>
      <c r="K18" s="5" t="s">
        <v>18</v>
      </c>
      <c r="M18" s="50"/>
      <c r="N18" s="13">
        <f>P14</f>
        <v>330000</v>
      </c>
      <c r="P18" s="50"/>
      <c r="Q18" s="53">
        <f>M5</f>
        <v>400000</v>
      </c>
      <c r="R18" s="5" t="s">
        <v>72</v>
      </c>
    </row>
    <row r="19" spans="1:18" x14ac:dyDescent="0.3">
      <c r="A19" s="5" t="s">
        <v>3</v>
      </c>
      <c r="B19" s="13">
        <v>30000</v>
      </c>
      <c r="C19" s="5" t="s">
        <v>4</v>
      </c>
    </row>
    <row r="20" spans="1:18" ht="16.2" x14ac:dyDescent="0.35">
      <c r="A20" s="5" t="s">
        <v>29</v>
      </c>
      <c r="B20" s="13">
        <v>330000</v>
      </c>
      <c r="C20" s="5" t="s">
        <v>5</v>
      </c>
      <c r="D20" s="5">
        <v>3</v>
      </c>
      <c r="E20" s="65" t="s">
        <v>21</v>
      </c>
      <c r="F20" s="66"/>
      <c r="M20" s="47" t="s">
        <v>9</v>
      </c>
      <c r="N20" s="47"/>
      <c r="P20" s="47" t="s">
        <v>14</v>
      </c>
      <c r="Q20" s="47"/>
    </row>
    <row r="21" spans="1:18" x14ac:dyDescent="0.3">
      <c r="B21" s="13"/>
      <c r="E21" s="5" t="s">
        <v>161</v>
      </c>
      <c r="F21" s="5" t="s">
        <v>13</v>
      </c>
      <c r="I21" s="13">
        <f>H22</f>
        <v>300000</v>
      </c>
      <c r="K21" s="5" t="s">
        <v>22</v>
      </c>
      <c r="M21" s="50"/>
      <c r="N21" s="13">
        <f>B13</f>
        <v>2000000</v>
      </c>
      <c r="O21" s="5" t="s">
        <v>34</v>
      </c>
      <c r="P21" s="50"/>
      <c r="Q21" s="13">
        <v>800000</v>
      </c>
      <c r="R21" s="5" t="s">
        <v>34</v>
      </c>
    </row>
    <row r="22" spans="1:18" x14ac:dyDescent="0.3">
      <c r="A22" s="64" t="s">
        <v>6</v>
      </c>
      <c r="B22" s="67">
        <f>B14-B19</f>
        <v>170000</v>
      </c>
      <c r="C22" s="64" t="s">
        <v>7</v>
      </c>
      <c r="D22" s="64"/>
      <c r="E22" s="5" t="s">
        <v>161</v>
      </c>
      <c r="F22" s="5" t="s">
        <v>9</v>
      </c>
      <c r="H22" s="13">
        <f>B19*B17</f>
        <v>300000</v>
      </c>
      <c r="K22" s="5" t="s">
        <v>23</v>
      </c>
      <c r="M22" s="68">
        <f>B19*B17</f>
        <v>300000</v>
      </c>
      <c r="N22" s="13"/>
      <c r="P22" s="52"/>
      <c r="Q22" s="49">
        <f>H31</f>
        <v>200000</v>
      </c>
      <c r="R22" s="5" t="s">
        <v>72</v>
      </c>
    </row>
    <row r="23" spans="1:18" x14ac:dyDescent="0.3">
      <c r="Q23" s="13" t="str">
        <f>M15</f>
        <v/>
      </c>
    </row>
    <row r="24" spans="1:18" x14ac:dyDescent="0.3">
      <c r="E24" s="69" t="s">
        <v>75</v>
      </c>
      <c r="F24" s="70"/>
      <c r="G24" s="70"/>
      <c r="H24" s="63"/>
    </row>
    <row r="25" spans="1:18" x14ac:dyDescent="0.3">
      <c r="E25" s="5" t="s">
        <v>74</v>
      </c>
      <c r="I25" s="13">
        <f>N15</f>
        <v>30000</v>
      </c>
    </row>
    <row r="26" spans="1:18" x14ac:dyDescent="0.3">
      <c r="E26" s="64" t="s">
        <v>76</v>
      </c>
      <c r="F26" s="64"/>
      <c r="H26" s="13">
        <f>P6</f>
        <v>30000</v>
      </c>
    </row>
    <row r="27" spans="1:18" x14ac:dyDescent="0.3">
      <c r="E27" s="64"/>
    </row>
    <row r="28" spans="1:18" x14ac:dyDescent="0.3">
      <c r="A28" s="71" t="s">
        <v>8</v>
      </c>
      <c r="B28" s="13">
        <f>B22*B17</f>
        <v>1700000</v>
      </c>
      <c r="G28" s="72" t="s">
        <v>80</v>
      </c>
    </row>
    <row r="29" spans="1:18" x14ac:dyDescent="0.3">
      <c r="E29" s="5" t="s">
        <v>35</v>
      </c>
      <c r="G29" s="72" t="s">
        <v>70</v>
      </c>
      <c r="H29" s="73" t="s">
        <v>78</v>
      </c>
      <c r="I29" s="73" t="s">
        <v>79</v>
      </c>
      <c r="J29" s="72"/>
      <c r="K29" s="72" t="s">
        <v>71</v>
      </c>
      <c r="M29" s="5" t="s">
        <v>69</v>
      </c>
      <c r="P29" s="5" t="s">
        <v>36</v>
      </c>
    </row>
    <row r="30" spans="1:18" x14ac:dyDescent="0.3">
      <c r="E30" s="5" t="s">
        <v>9</v>
      </c>
      <c r="F30" s="13">
        <f>B13</f>
        <v>2000000</v>
      </c>
      <c r="M30" s="13">
        <f>M22*-1</f>
        <v>-300000</v>
      </c>
      <c r="P30" s="13">
        <f>SUM(F30:N30)</f>
        <v>1700000</v>
      </c>
    </row>
    <row r="31" spans="1:18" x14ac:dyDescent="0.3">
      <c r="E31" s="5" t="s">
        <v>14</v>
      </c>
      <c r="F31" s="13">
        <v>800000</v>
      </c>
      <c r="G31" s="13" t="str">
        <f>Q23</f>
        <v/>
      </c>
      <c r="H31" s="13">
        <f>-H34</f>
        <v>200000</v>
      </c>
      <c r="M31" s="13">
        <f>P9</f>
        <v>0</v>
      </c>
      <c r="P31" s="13">
        <f>SUM(F31:N31)</f>
        <v>1000000</v>
      </c>
    </row>
    <row r="32" spans="1:18" x14ac:dyDescent="0.3">
      <c r="E32" s="5" t="s">
        <v>12</v>
      </c>
      <c r="F32" s="13">
        <v>300000</v>
      </c>
      <c r="G32" s="13">
        <f>-G34</f>
        <v>350000</v>
      </c>
      <c r="I32" s="13">
        <f>-I34</f>
        <v>300000</v>
      </c>
      <c r="M32" s="13">
        <f>P6*-1</f>
        <v>-30000</v>
      </c>
      <c r="P32" s="13">
        <f>SUM(F32:N32)</f>
        <v>920000</v>
      </c>
    </row>
    <row r="33" spans="5:16" x14ac:dyDescent="0.3">
      <c r="E33" s="5" t="s">
        <v>33</v>
      </c>
      <c r="F33" s="13"/>
      <c r="M33" s="13"/>
      <c r="P33" s="13">
        <f>SUM(F33:N33)</f>
        <v>0</v>
      </c>
    </row>
    <row r="34" spans="5:16" x14ac:dyDescent="0.3">
      <c r="E34" s="5" t="s">
        <v>24</v>
      </c>
      <c r="F34" s="13">
        <v>1250000</v>
      </c>
      <c r="G34" s="73">
        <v>-350000</v>
      </c>
      <c r="H34" s="73">
        <v>-200000</v>
      </c>
      <c r="I34" s="73">
        <v>-300000</v>
      </c>
      <c r="J34" s="72"/>
      <c r="K34" s="73">
        <v>-400000</v>
      </c>
      <c r="P34" s="13">
        <f>SUM(F34:N34)</f>
        <v>0</v>
      </c>
    </row>
    <row r="35" spans="5:16" x14ac:dyDescent="0.3">
      <c r="F35" s="13">
        <f>SUM(F30:F34)</f>
        <v>4350000</v>
      </c>
      <c r="K35" s="5" t="s">
        <v>25</v>
      </c>
      <c r="P35" s="13">
        <f>SUM(P30:P34)</f>
        <v>3620000</v>
      </c>
    </row>
    <row r="37" spans="5:16" x14ac:dyDescent="0.3">
      <c r="E37" s="5" t="s">
        <v>26</v>
      </c>
      <c r="G37" s="13">
        <f>Q18</f>
        <v>400000</v>
      </c>
      <c r="K37" s="13">
        <f>F35+K34</f>
        <v>3950000</v>
      </c>
      <c r="N37" s="5" t="s">
        <v>81</v>
      </c>
      <c r="P37" s="13">
        <f>P35-F35</f>
        <v>-730000</v>
      </c>
    </row>
    <row r="38" spans="5:16" x14ac:dyDescent="0.3">
      <c r="K38" s="13">
        <f>K37+B20</f>
        <v>4280000</v>
      </c>
      <c r="N38" s="5" t="s">
        <v>82</v>
      </c>
    </row>
    <row r="39" spans="5:16" x14ac:dyDescent="0.3">
      <c r="M39" s="128" t="s">
        <v>83</v>
      </c>
      <c r="N39" s="128"/>
      <c r="O39" s="128"/>
      <c r="P39" s="129">
        <v>330000</v>
      </c>
    </row>
    <row r="40" spans="5:16" x14ac:dyDescent="0.3">
      <c r="M40" s="128" t="s">
        <v>25</v>
      </c>
      <c r="N40" s="128"/>
      <c r="O40" s="128"/>
      <c r="P40" s="129">
        <v>400000</v>
      </c>
    </row>
    <row r="41" spans="5:16" x14ac:dyDescent="0.3">
      <c r="P41" s="13">
        <f>P39+P40</f>
        <v>730000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5AFA-D57E-4BD3-84EF-CFFB0267DD68}">
  <sheetPr>
    <pageSetUpPr fitToPage="1"/>
  </sheetPr>
  <dimension ref="A3:N124"/>
  <sheetViews>
    <sheetView topLeftCell="A42" zoomScaleNormal="100" workbookViewId="0">
      <selection activeCell="F96" sqref="F96"/>
    </sheetView>
  </sheetViews>
  <sheetFormatPr defaultColWidth="8.77734375" defaultRowHeight="15.6" x14ac:dyDescent="0.3"/>
  <cols>
    <col min="1" max="1" width="35.109375" style="5" customWidth="1"/>
    <col min="2" max="2" width="33.6640625" style="5" bestFit="1" customWidth="1"/>
    <col min="3" max="3" width="16.109375" style="5" customWidth="1"/>
    <col min="4" max="4" width="24.33203125" style="5" customWidth="1"/>
    <col min="5" max="5" width="21.109375" style="5" customWidth="1"/>
    <col min="6" max="6" width="23.21875" style="5" customWidth="1"/>
    <col min="7" max="7" width="16.77734375" style="5" customWidth="1"/>
    <col min="8" max="8" width="18.109375" style="5" customWidth="1"/>
    <col min="9" max="9" width="23.88671875" style="5" customWidth="1"/>
    <col min="10" max="10" width="32" style="5" customWidth="1"/>
    <col min="11" max="11" width="10.77734375" style="5" bestFit="1" customWidth="1"/>
    <col min="12" max="12" width="11.33203125" style="5" customWidth="1"/>
    <col min="13" max="15" width="8.77734375" style="5"/>
    <col min="16" max="16" width="10.77734375" style="5" bestFit="1" customWidth="1"/>
    <col min="17" max="16384" width="8.77734375" style="5"/>
  </cols>
  <sheetData>
    <row r="3" spans="2:5" x14ac:dyDescent="0.3">
      <c r="B3" s="5" t="s">
        <v>39</v>
      </c>
      <c r="C3" s="15" t="s">
        <v>37</v>
      </c>
      <c r="D3" s="15" t="s">
        <v>38</v>
      </c>
      <c r="E3" s="15"/>
    </row>
    <row r="5" spans="2:5" x14ac:dyDescent="0.3">
      <c r="B5" s="128" t="s">
        <v>53</v>
      </c>
      <c r="C5" s="129">
        <f>C6</f>
        <v>30000</v>
      </c>
      <c r="D5" s="129">
        <f>D6</f>
        <v>20000</v>
      </c>
      <c r="E5" s="5" t="s">
        <v>54</v>
      </c>
    </row>
    <row r="6" spans="2:5" x14ac:dyDescent="0.3">
      <c r="B6" s="5" t="s">
        <v>40</v>
      </c>
      <c r="C6" s="13">
        <v>30000</v>
      </c>
      <c r="D6" s="13">
        <v>20000</v>
      </c>
    </row>
    <row r="7" spans="2:5" x14ac:dyDescent="0.3">
      <c r="B7" s="16" t="s">
        <v>0</v>
      </c>
      <c r="C7" s="17">
        <v>20000</v>
      </c>
      <c r="D7" s="17">
        <v>10000</v>
      </c>
    </row>
    <row r="9" spans="2:5" x14ac:dyDescent="0.3">
      <c r="B9" s="128" t="s">
        <v>162</v>
      </c>
      <c r="C9" s="128">
        <v>20</v>
      </c>
      <c r="D9" s="128">
        <v>20</v>
      </c>
    </row>
    <row r="10" spans="2:5" x14ac:dyDescent="0.3">
      <c r="B10" s="5" t="s">
        <v>41</v>
      </c>
      <c r="C10" s="5">
        <v>1000</v>
      </c>
      <c r="D10" s="5">
        <v>500</v>
      </c>
    </row>
    <row r="12" spans="2:5" x14ac:dyDescent="0.3">
      <c r="B12" s="134" t="s">
        <v>165</v>
      </c>
      <c r="C12" s="135">
        <f>C5/C9</f>
        <v>1500</v>
      </c>
      <c r="D12" s="135">
        <f t="shared" ref="D12" si="0">D5/D9</f>
        <v>1000</v>
      </c>
      <c r="E12" s="18"/>
    </row>
    <row r="14" spans="2:5" x14ac:dyDescent="0.3">
      <c r="B14" s="5" t="s">
        <v>42</v>
      </c>
    </row>
    <row r="15" spans="2:5" x14ac:dyDescent="0.3">
      <c r="B15" s="5" t="s">
        <v>43</v>
      </c>
    </row>
    <row r="16" spans="2:5" x14ac:dyDescent="0.3">
      <c r="B16" s="5" t="s">
        <v>44</v>
      </c>
    </row>
    <row r="18" spans="1:11" x14ac:dyDescent="0.3">
      <c r="B18" s="5" t="s">
        <v>163</v>
      </c>
      <c r="G18" s="13">
        <f>D5</f>
        <v>20000</v>
      </c>
    </row>
    <row r="20" spans="1:11" x14ac:dyDescent="0.3">
      <c r="B20" s="5" t="s">
        <v>164</v>
      </c>
      <c r="F20" s="19">
        <f>C12</f>
        <v>1500</v>
      </c>
      <c r="G20" s="5" t="s">
        <v>45</v>
      </c>
    </row>
    <row r="21" spans="1:11" x14ac:dyDescent="0.3">
      <c r="B21" s="5" t="s">
        <v>46</v>
      </c>
      <c r="F21" s="13">
        <f>G18</f>
        <v>20000</v>
      </c>
      <c r="G21" s="5" t="s">
        <v>47</v>
      </c>
      <c r="H21" s="20">
        <f>F21/F20</f>
        <v>13.333333333333334</v>
      </c>
      <c r="I21" s="5" t="s">
        <v>48</v>
      </c>
      <c r="J21" s="21"/>
    </row>
    <row r="23" spans="1:11" x14ac:dyDescent="0.3">
      <c r="B23" s="5" t="s">
        <v>103</v>
      </c>
      <c r="F23" s="21">
        <f>ROUND(H21,0)</f>
        <v>13</v>
      </c>
      <c r="G23" s="5" t="s">
        <v>49</v>
      </c>
    </row>
    <row r="24" spans="1:11" x14ac:dyDescent="0.3">
      <c r="B24" s="5" t="s">
        <v>50</v>
      </c>
      <c r="C24" s="5" t="str">
        <f>D5&amp;"/"&amp;SUM(D5:E5)&amp;" spośród "&amp;$F$23&amp;" nowoemitowanych udziałów tj."</f>
        <v>20000/20000 spośród 13 nowoemitowanych udziałów tj.</v>
      </c>
      <c r="I24" s="22">
        <f>INT(D5/SUM(D5:E5)*H21)</f>
        <v>13</v>
      </c>
    </row>
    <row r="25" spans="1:11" x14ac:dyDescent="0.3">
      <c r="I25" s="22"/>
    </row>
    <row r="26" spans="1:11" x14ac:dyDescent="0.3">
      <c r="B26" s="5" t="s">
        <v>51</v>
      </c>
    </row>
    <row r="27" spans="1:11" x14ac:dyDescent="0.3">
      <c r="B27" s="5" t="str">
        <f>"w zamian za "&amp;D9&amp;" udziałów spółki B, wspólnicy tej spółki otrzymamają "&amp;I24&amp;" nowoemitowanych udziałów spółki A, tj. udziałów połączeniowych"</f>
        <v>w zamian za 20 udziałów spółki B, wspólnicy tej spółki otrzymamają 13 nowoemitowanych udziałów spółki A, tj. udziałów połączeniowych</v>
      </c>
      <c r="J27" s="5" t="s">
        <v>52</v>
      </c>
      <c r="K27" s="23">
        <f>(H21-I24)*C12</f>
        <v>500.00000000000091</v>
      </c>
    </row>
    <row r="30" spans="1:11" x14ac:dyDescent="0.3">
      <c r="A30" s="24" t="s">
        <v>57</v>
      </c>
    </row>
    <row r="31" spans="1:11" x14ac:dyDescent="0.3">
      <c r="A31" s="5" t="s">
        <v>56</v>
      </c>
      <c r="C31" s="5">
        <f>C9</f>
        <v>20</v>
      </c>
      <c r="D31" s="5" t="s">
        <v>55</v>
      </c>
      <c r="G31" s="19">
        <f>C12*C31</f>
        <v>30000</v>
      </c>
    </row>
    <row r="32" spans="1:11" x14ac:dyDescent="0.3">
      <c r="A32" s="5" t="s">
        <v>58</v>
      </c>
      <c r="C32" s="5">
        <v>20</v>
      </c>
      <c r="D32" s="5" t="s">
        <v>55</v>
      </c>
      <c r="G32" s="19">
        <f>C32*D12</f>
        <v>20000</v>
      </c>
    </row>
    <row r="34" spans="1:13" x14ac:dyDescent="0.3">
      <c r="A34" s="5" t="s">
        <v>60</v>
      </c>
      <c r="D34" s="25">
        <f>ROUND(G32/C12,0)</f>
        <v>13</v>
      </c>
      <c r="E34" s="5" t="s">
        <v>67</v>
      </c>
    </row>
    <row r="35" spans="1:13" x14ac:dyDescent="0.3">
      <c r="A35" s="5" t="s">
        <v>61</v>
      </c>
      <c r="D35" s="5">
        <f>(H21-I24)*C12</f>
        <v>500.00000000000091</v>
      </c>
    </row>
    <row r="37" spans="1:13" s="64" customFormat="1" x14ac:dyDescent="0.3">
      <c r="A37" s="64" t="s">
        <v>68</v>
      </c>
      <c r="H37" s="136">
        <f>C6+D6-K27</f>
        <v>49500</v>
      </c>
    </row>
    <row r="39" spans="1:13" x14ac:dyDescent="0.3">
      <c r="A39" s="24" t="s">
        <v>59</v>
      </c>
    </row>
    <row r="40" spans="1:13" x14ac:dyDescent="0.3">
      <c r="A40" s="5" t="s">
        <v>62</v>
      </c>
      <c r="C40" s="5">
        <f>C9</f>
        <v>20</v>
      </c>
      <c r="D40" s="27">
        <f>C40/$C$42</f>
        <v>0.60606060606060608</v>
      </c>
      <c r="E40" s="26">
        <f>D40*$H$37</f>
        <v>30000</v>
      </c>
      <c r="F40" s="5" t="s">
        <v>66</v>
      </c>
      <c r="G40" s="5" t="s">
        <v>55</v>
      </c>
      <c r="J40" s="19">
        <f>G31</f>
        <v>30000</v>
      </c>
    </row>
    <row r="41" spans="1:13" x14ac:dyDescent="0.3">
      <c r="A41" s="5" t="s">
        <v>63</v>
      </c>
      <c r="C41" s="28">
        <f>D34</f>
        <v>13</v>
      </c>
      <c r="D41" s="27">
        <f>C41/$C$42</f>
        <v>0.39393939393939392</v>
      </c>
      <c r="E41" s="26">
        <f>J41+L41</f>
        <v>20000</v>
      </c>
      <c r="F41" s="5" t="s">
        <v>66</v>
      </c>
      <c r="G41" s="5" t="s">
        <v>55</v>
      </c>
      <c r="J41" s="19">
        <f>C41*C12</f>
        <v>19500</v>
      </c>
      <c r="K41" s="27" t="s">
        <v>64</v>
      </c>
      <c r="L41" s="19">
        <v>500</v>
      </c>
      <c r="M41" s="5" t="s">
        <v>65</v>
      </c>
    </row>
    <row r="42" spans="1:13" x14ac:dyDescent="0.3">
      <c r="C42" s="5">
        <f>SUM(C40:C41)</f>
        <v>33</v>
      </c>
      <c r="D42" s="27">
        <f>SUM(D40:D41)</f>
        <v>1</v>
      </c>
      <c r="E42" s="26">
        <f>SUM(E40:E41)</f>
        <v>50000</v>
      </c>
    </row>
    <row r="44" spans="1:13" x14ac:dyDescent="0.3">
      <c r="C44" s="5">
        <f>C42*C10</f>
        <v>33000</v>
      </c>
      <c r="E44" s="5" t="s">
        <v>104</v>
      </c>
    </row>
    <row r="45" spans="1:13" ht="16.2" thickBot="1" x14ac:dyDescent="0.35">
      <c r="A45" s="5" t="s">
        <v>144</v>
      </c>
    </row>
    <row r="46" spans="1:13" s="30" customFormat="1" ht="15" customHeight="1" thickBot="1" x14ac:dyDescent="0.3">
      <c r="B46" s="143" t="s">
        <v>128</v>
      </c>
      <c r="C46" s="144"/>
      <c r="D46" s="143" t="s">
        <v>138</v>
      </c>
      <c r="E46" s="144"/>
    </row>
    <row r="47" spans="1:13" s="30" customFormat="1" ht="96" customHeight="1" x14ac:dyDescent="0.25">
      <c r="B47" s="31" t="s">
        <v>129</v>
      </c>
      <c r="C47" s="32" t="s">
        <v>130</v>
      </c>
      <c r="D47" s="31" t="s">
        <v>131</v>
      </c>
      <c r="E47" s="32" t="s">
        <v>132</v>
      </c>
      <c r="F47" s="33" t="s">
        <v>141</v>
      </c>
      <c r="G47" s="33" t="s">
        <v>142</v>
      </c>
    </row>
    <row r="48" spans="1:13" s="30" customFormat="1" ht="30.45" customHeight="1" x14ac:dyDescent="0.25">
      <c r="A48" s="34" t="s">
        <v>133</v>
      </c>
      <c r="B48" s="74">
        <v>36</v>
      </c>
      <c r="C48" s="80">
        <f>B50</f>
        <v>20</v>
      </c>
      <c r="D48" s="75">
        <v>200</v>
      </c>
      <c r="E48" s="76">
        <f>D50</f>
        <v>30</v>
      </c>
      <c r="F48" s="77">
        <f>C50</f>
        <v>1</v>
      </c>
      <c r="G48" s="78">
        <f>F50</f>
        <v>0.66666666666666663</v>
      </c>
    </row>
    <row r="49" spans="1:12" s="30" customFormat="1" ht="36" customHeight="1" x14ac:dyDescent="0.25">
      <c r="A49" s="35" t="s">
        <v>134</v>
      </c>
      <c r="B49" s="75">
        <v>16</v>
      </c>
      <c r="C49" s="77">
        <v>20</v>
      </c>
      <c r="D49" s="75">
        <v>170</v>
      </c>
      <c r="E49" s="77">
        <v>20</v>
      </c>
      <c r="F49" s="77">
        <f>E50</f>
        <v>1.5</v>
      </c>
      <c r="G49" s="79">
        <v>20</v>
      </c>
      <c r="H49" s="36"/>
    </row>
    <row r="50" spans="1:12" s="42" customFormat="1" ht="13.2" x14ac:dyDescent="0.25">
      <c r="A50" s="37" t="s">
        <v>135</v>
      </c>
      <c r="B50" s="38">
        <f>B48-B49</f>
        <v>20</v>
      </c>
      <c r="C50" s="39">
        <f>C48/C49</f>
        <v>1</v>
      </c>
      <c r="D50" s="38">
        <f>D48-D49</f>
        <v>30</v>
      </c>
      <c r="E50" s="39">
        <f>E48/E49</f>
        <v>1.5</v>
      </c>
      <c r="F50" s="40">
        <f>F48/F49</f>
        <v>0.66666666666666663</v>
      </c>
      <c r="G50" s="41">
        <f>G48*G49</f>
        <v>13.333333333333332</v>
      </c>
    </row>
    <row r="51" spans="1:12" s="30" customFormat="1" ht="49.95" customHeight="1" x14ac:dyDescent="0.25">
      <c r="B51" s="43"/>
      <c r="C51" s="31" t="s">
        <v>139</v>
      </c>
      <c r="D51" s="43"/>
      <c r="E51" s="106" t="s">
        <v>136</v>
      </c>
      <c r="F51" s="44">
        <f>F50</f>
        <v>0.66666666666666663</v>
      </c>
      <c r="G51" s="107" t="s">
        <v>137</v>
      </c>
    </row>
    <row r="52" spans="1:12" ht="46.8" x14ac:dyDescent="0.3">
      <c r="F52" s="108" t="s">
        <v>143</v>
      </c>
      <c r="G52" s="1">
        <f>(G50-13)*E50</f>
        <v>0.49999999999999822</v>
      </c>
    </row>
    <row r="53" spans="1:12" x14ac:dyDescent="0.3">
      <c r="A53" s="64" t="s">
        <v>127</v>
      </c>
    </row>
    <row r="54" spans="1:12" x14ac:dyDescent="0.3">
      <c r="G54" s="64" t="s">
        <v>127</v>
      </c>
      <c r="L54" s="13"/>
    </row>
    <row r="55" spans="1:12" ht="33.450000000000003" customHeight="1" x14ac:dyDescent="0.3">
      <c r="A55" s="1"/>
      <c r="B55" s="2" t="s">
        <v>105</v>
      </c>
      <c r="C55" s="2" t="s">
        <v>106</v>
      </c>
      <c r="D55" s="3" t="s">
        <v>107</v>
      </c>
      <c r="E55" s="4" t="s">
        <v>108</v>
      </c>
      <c r="G55" s="47" t="s">
        <v>145</v>
      </c>
      <c r="H55" s="47"/>
      <c r="J55" s="47" t="s">
        <v>9</v>
      </c>
      <c r="K55" s="47"/>
    </row>
    <row r="56" spans="1:12" ht="31.2" x14ac:dyDescent="0.3">
      <c r="A56" s="6" t="s">
        <v>109</v>
      </c>
      <c r="B56" s="7">
        <v>200</v>
      </c>
      <c r="C56" s="7">
        <v>36</v>
      </c>
      <c r="D56" s="7">
        <f>B56+C56</f>
        <v>236</v>
      </c>
      <c r="E56" s="4"/>
      <c r="F56" s="130" t="str">
        <f>L57</f>
        <v>podwyższenie kapitału zakładowego</v>
      </c>
      <c r="G56" s="131">
        <f>K57</f>
        <v>13</v>
      </c>
      <c r="H56" s="13">
        <f>J75</f>
        <v>26</v>
      </c>
      <c r="I56" s="48" t="str">
        <f>I75</f>
        <v>przejęcie aktywa trwałe</v>
      </c>
      <c r="J56" s="50"/>
      <c r="K56" s="13">
        <f>B61</f>
        <v>20</v>
      </c>
      <c r="L56" s="5" t="s">
        <v>34</v>
      </c>
    </row>
    <row r="57" spans="1:12" ht="31.2" x14ac:dyDescent="0.3">
      <c r="A57" s="1" t="s">
        <v>110</v>
      </c>
      <c r="B57" s="2">
        <v>120</v>
      </c>
      <c r="C57" s="2">
        <v>26</v>
      </c>
      <c r="D57" s="2">
        <f>B57+C57</f>
        <v>146</v>
      </c>
      <c r="E57" s="4" t="s">
        <v>111</v>
      </c>
      <c r="F57" s="128" t="str">
        <f>L69</f>
        <v xml:space="preserve">dopłaty dla wspólników </v>
      </c>
      <c r="G57" s="133">
        <f>K69</f>
        <v>0.5</v>
      </c>
      <c r="H57" s="56">
        <f>J80</f>
        <v>10</v>
      </c>
      <c r="I57" s="48" t="str">
        <f>I80</f>
        <v>przejęcie aktywa obrotowe</v>
      </c>
      <c r="J57" s="114"/>
      <c r="K57" s="132">
        <f>B75</f>
        <v>13</v>
      </c>
      <c r="L57" s="5" t="str">
        <f>A75</f>
        <v>podwyższenie kapitału zakładowego</v>
      </c>
    </row>
    <row r="58" spans="1:12" ht="31.2" x14ac:dyDescent="0.3">
      <c r="A58" s="1" t="s">
        <v>112</v>
      </c>
      <c r="B58" s="2">
        <v>80</v>
      </c>
      <c r="C58" s="2">
        <v>10</v>
      </c>
      <c r="D58" s="2">
        <f>B58+C58</f>
        <v>90</v>
      </c>
      <c r="E58" s="4" t="s">
        <v>113</v>
      </c>
      <c r="F58" s="117" t="str">
        <f>L63</f>
        <v>przejęcie kapitał zapasowy</v>
      </c>
      <c r="G58" s="57">
        <f>K63</f>
        <v>10</v>
      </c>
      <c r="J58" s="50">
        <f>SUM(J56:J57)</f>
        <v>0</v>
      </c>
      <c r="K58" s="13">
        <f>SUM(K56:K57)</f>
        <v>33</v>
      </c>
    </row>
    <row r="59" spans="1:12" ht="31.2" x14ac:dyDescent="0.3">
      <c r="A59" s="6" t="s">
        <v>114</v>
      </c>
      <c r="B59" s="7">
        <v>200</v>
      </c>
      <c r="C59" s="7">
        <v>36</v>
      </c>
      <c r="D59" s="7">
        <f>D60+D63</f>
        <v>236</v>
      </c>
      <c r="E59" s="4"/>
      <c r="F59" s="48" t="str">
        <f>L70</f>
        <v>przejęcie rezerwy i zobowiązania</v>
      </c>
      <c r="G59" s="114">
        <f>K70</f>
        <v>16</v>
      </c>
      <c r="H59" s="47"/>
      <c r="J59" s="124">
        <f>K58</f>
        <v>33</v>
      </c>
    </row>
    <row r="60" spans="1:12" x14ac:dyDescent="0.3">
      <c r="A60" s="1" t="s">
        <v>115</v>
      </c>
      <c r="B60" s="8">
        <v>30</v>
      </c>
      <c r="C60" s="8">
        <v>20</v>
      </c>
      <c r="D60" s="2">
        <f>D61+D62</f>
        <v>49.5</v>
      </c>
      <c r="E60" s="4" t="s">
        <v>116</v>
      </c>
      <c r="F60" s="5" t="s">
        <v>148</v>
      </c>
      <c r="G60" s="52">
        <f>SUM(G56:G59)</f>
        <v>39.5</v>
      </c>
      <c r="H60" s="13">
        <f>SUM(H56:H59)</f>
        <v>36</v>
      </c>
    </row>
    <row r="61" spans="1:12" s="11" customFormat="1" x14ac:dyDescent="0.3">
      <c r="A61" s="9" t="s">
        <v>117</v>
      </c>
      <c r="B61" s="8">
        <v>20</v>
      </c>
      <c r="C61" s="8">
        <v>10</v>
      </c>
      <c r="D61" s="8">
        <f>B61+B75</f>
        <v>33</v>
      </c>
      <c r="E61" s="10" t="s">
        <v>155</v>
      </c>
      <c r="G61" s="120"/>
      <c r="H61" s="121">
        <f>G60-H60</f>
        <v>3.5</v>
      </c>
      <c r="I61" s="5" t="s">
        <v>153</v>
      </c>
      <c r="J61" s="47" t="s">
        <v>14</v>
      </c>
      <c r="K61" s="47"/>
      <c r="L61" s="5"/>
    </row>
    <row r="62" spans="1:12" s="11" customFormat="1" x14ac:dyDescent="0.3">
      <c r="A62" s="9" t="s">
        <v>118</v>
      </c>
      <c r="B62" s="8">
        <v>10</v>
      </c>
      <c r="C62" s="12">
        <v>10</v>
      </c>
      <c r="D62" s="8">
        <f>B77</f>
        <v>16.5</v>
      </c>
      <c r="E62" s="10" t="s">
        <v>158</v>
      </c>
      <c r="G62" s="57">
        <f>SUM(G60:G61)</f>
        <v>39.5</v>
      </c>
      <c r="H62" s="56">
        <f>SUM(H60:H61)</f>
        <v>39.5</v>
      </c>
      <c r="J62" s="50"/>
      <c r="K62" s="13">
        <f>C62</f>
        <v>10</v>
      </c>
      <c r="L62" s="5" t="s">
        <v>34</v>
      </c>
    </row>
    <row r="63" spans="1:12" x14ac:dyDescent="0.3">
      <c r="A63" s="1" t="s">
        <v>119</v>
      </c>
      <c r="B63" s="8">
        <v>170</v>
      </c>
      <c r="C63" s="8">
        <v>16</v>
      </c>
      <c r="D63" s="2">
        <f>B63+C63+B76</f>
        <v>186.5</v>
      </c>
      <c r="E63" s="10" t="s">
        <v>157</v>
      </c>
      <c r="G63" s="113"/>
      <c r="J63" s="113"/>
      <c r="K63" s="13">
        <f>C62</f>
        <v>10</v>
      </c>
      <c r="L63" s="5" t="s">
        <v>149</v>
      </c>
    </row>
    <row r="64" spans="1:12" ht="50.55" customHeight="1" x14ac:dyDescent="0.3">
      <c r="A64" s="29" t="s">
        <v>120</v>
      </c>
      <c r="B64" s="56"/>
      <c r="C64" s="56"/>
      <c r="D64" s="13"/>
      <c r="E64" s="116"/>
      <c r="I64" s="48" t="s">
        <v>151</v>
      </c>
      <c r="J64" s="122">
        <f>H61</f>
        <v>3.5</v>
      </c>
      <c r="K64" s="115"/>
    </row>
    <row r="65" spans="1:12" x14ac:dyDescent="0.3">
      <c r="B65" s="56"/>
      <c r="C65" s="56"/>
      <c r="D65" s="13"/>
      <c r="E65" s="116"/>
      <c r="J65" s="50">
        <f>SUM(J62:J64)</f>
        <v>3.5</v>
      </c>
      <c r="K65" s="13">
        <f>SUM(K62:K64)</f>
        <v>20</v>
      </c>
      <c r="L65" s="13"/>
    </row>
    <row r="66" spans="1:12" x14ac:dyDescent="0.3">
      <c r="B66" s="56"/>
      <c r="C66" s="56"/>
      <c r="D66" s="13"/>
      <c r="E66" s="116"/>
      <c r="I66" s="5" t="s">
        <v>152</v>
      </c>
      <c r="J66" s="124">
        <f>K65-J65</f>
        <v>16.5</v>
      </c>
      <c r="K66" s="13"/>
      <c r="L66" s="13"/>
    </row>
    <row r="67" spans="1:12" x14ac:dyDescent="0.3">
      <c r="B67" s="13"/>
      <c r="C67" s="13"/>
      <c r="D67" s="13"/>
      <c r="E67" s="14"/>
      <c r="J67" s="47" t="s">
        <v>119</v>
      </c>
      <c r="K67" s="47"/>
    </row>
    <row r="68" spans="1:12" x14ac:dyDescent="0.3">
      <c r="A68" s="1" t="s">
        <v>121</v>
      </c>
      <c r="B68" s="2">
        <f>F51</f>
        <v>0.66666666666666663</v>
      </c>
      <c r="C68" s="13"/>
      <c r="D68" s="13"/>
      <c r="E68" s="14"/>
      <c r="J68" s="50"/>
      <c r="K68" s="13">
        <f>B63</f>
        <v>170</v>
      </c>
      <c r="L68" s="5" t="s">
        <v>34</v>
      </c>
    </row>
    <row r="69" spans="1:12" x14ac:dyDescent="0.3">
      <c r="A69" s="1" t="s">
        <v>121</v>
      </c>
      <c r="B69" s="104" t="s">
        <v>122</v>
      </c>
      <c r="C69" s="13"/>
      <c r="D69" s="13"/>
      <c r="E69" s="14"/>
      <c r="J69" s="113"/>
      <c r="K69" s="13">
        <f>B76</f>
        <v>0.5</v>
      </c>
      <c r="L69" s="5" t="str">
        <f>A76</f>
        <v xml:space="preserve">dopłaty dla wspólników </v>
      </c>
    </row>
    <row r="70" spans="1:12" x14ac:dyDescent="0.3">
      <c r="A70" s="1" t="s">
        <v>121</v>
      </c>
      <c r="B70" s="105" t="s">
        <v>123</v>
      </c>
      <c r="C70" s="13"/>
      <c r="D70" s="13"/>
      <c r="E70" s="14"/>
      <c r="J70" s="119"/>
      <c r="K70" s="118">
        <f>C63</f>
        <v>16</v>
      </c>
      <c r="L70" s="5" t="s">
        <v>150</v>
      </c>
    </row>
    <row r="71" spans="1:12" x14ac:dyDescent="0.3">
      <c r="A71" s="1" t="s">
        <v>121</v>
      </c>
      <c r="B71" s="105" t="s">
        <v>124</v>
      </c>
      <c r="C71" s="13"/>
      <c r="D71" s="13"/>
      <c r="E71" s="14"/>
      <c r="J71" s="50">
        <f>SUM(J68:J70)</f>
        <v>0</v>
      </c>
      <c r="K71" s="13">
        <f>SUM(K68:K70)</f>
        <v>186.5</v>
      </c>
    </row>
    <row r="72" spans="1:12" x14ac:dyDescent="0.3">
      <c r="B72" s="123"/>
      <c r="C72" s="13"/>
      <c r="D72" s="13"/>
      <c r="E72" s="14"/>
      <c r="I72" s="5" t="s">
        <v>154</v>
      </c>
      <c r="J72" s="124">
        <f>K71-J71</f>
        <v>186.5</v>
      </c>
      <c r="K72" s="13"/>
    </row>
    <row r="73" spans="1:12" x14ac:dyDescent="0.3">
      <c r="B73" s="123"/>
      <c r="C73" s="13"/>
      <c r="D73" s="13"/>
      <c r="E73" s="14"/>
      <c r="J73" s="47" t="str">
        <f>A57</f>
        <v>Aktywa trwałe</v>
      </c>
      <c r="K73" s="47"/>
    </row>
    <row r="74" spans="1:12" x14ac:dyDescent="0.3">
      <c r="B74" s="13"/>
      <c r="C74" s="13"/>
      <c r="D74" s="13"/>
      <c r="E74" s="14"/>
      <c r="I74" s="5" t="s">
        <v>34</v>
      </c>
      <c r="J74" s="50">
        <f>B57</f>
        <v>120</v>
      </c>
      <c r="K74" s="13"/>
    </row>
    <row r="75" spans="1:12" x14ac:dyDescent="0.3">
      <c r="A75" s="1" t="s">
        <v>159</v>
      </c>
      <c r="B75" s="2">
        <v>13</v>
      </c>
      <c r="C75" s="13"/>
      <c r="D75" s="13"/>
      <c r="E75" s="14"/>
      <c r="I75" s="48" t="s">
        <v>146</v>
      </c>
      <c r="J75" s="114">
        <f>C57</f>
        <v>26</v>
      </c>
      <c r="K75" s="47"/>
    </row>
    <row r="76" spans="1:12" x14ac:dyDescent="0.3">
      <c r="A76" s="1" t="s">
        <v>125</v>
      </c>
      <c r="B76" s="2">
        <v>0.5</v>
      </c>
      <c r="C76" s="13"/>
      <c r="D76" s="13"/>
      <c r="E76" s="14"/>
      <c r="J76" s="52">
        <f>SUM(J74:J75)</f>
        <v>146</v>
      </c>
      <c r="K76" s="13">
        <f>SUM(K74:K75)</f>
        <v>0</v>
      </c>
    </row>
    <row r="77" spans="1:12" x14ac:dyDescent="0.3">
      <c r="A77" s="1" t="str">
        <f>A62</f>
        <v xml:space="preserve">         kapitał zapasowy</v>
      </c>
      <c r="B77" s="2">
        <f>B62+C62-(B75+B76-C61)</f>
        <v>16.5</v>
      </c>
      <c r="C77" s="13"/>
      <c r="D77" s="13"/>
      <c r="E77" s="14"/>
      <c r="J77" s="52"/>
      <c r="K77" s="67">
        <f>J76-K76</f>
        <v>146</v>
      </c>
      <c r="L77" s="5" t="s">
        <v>153</v>
      </c>
    </row>
    <row r="78" spans="1:12" x14ac:dyDescent="0.3">
      <c r="A78" s="1" t="str">
        <f>A94</f>
        <v xml:space="preserve">         kapitał z roliczenia połączenia</v>
      </c>
      <c r="B78" s="2">
        <f>-(B75+B76-C61)</f>
        <v>-3.5</v>
      </c>
      <c r="C78" s="13"/>
      <c r="D78" s="13"/>
      <c r="E78" s="14"/>
      <c r="J78" s="47" t="str">
        <f>A58</f>
        <v>Aktywa obrotowe</v>
      </c>
      <c r="K78" s="47"/>
    </row>
    <row r="79" spans="1:12" x14ac:dyDescent="0.3">
      <c r="B79" s="13"/>
      <c r="C79" s="13"/>
      <c r="D79" s="13"/>
      <c r="E79" s="14"/>
      <c r="I79" s="5" t="s">
        <v>34</v>
      </c>
      <c r="J79" s="50">
        <f>B58</f>
        <v>80</v>
      </c>
      <c r="K79" s="13"/>
    </row>
    <row r="80" spans="1:12" ht="31.2" x14ac:dyDescent="0.3">
      <c r="A80" s="64"/>
      <c r="B80" s="13"/>
      <c r="C80" s="13"/>
      <c r="D80" s="13"/>
      <c r="E80" s="14"/>
      <c r="I80" s="48" t="s">
        <v>147</v>
      </c>
      <c r="J80" s="114">
        <f>C58</f>
        <v>10</v>
      </c>
      <c r="K80" s="47"/>
    </row>
    <row r="81" spans="1:14" x14ac:dyDescent="0.3">
      <c r="B81" s="13"/>
      <c r="C81" s="13"/>
      <c r="D81" s="126"/>
      <c r="E81" s="14"/>
      <c r="I81" s="5" t="s">
        <v>148</v>
      </c>
      <c r="J81" s="50">
        <f>SUM(J79:J80)</f>
        <v>90</v>
      </c>
      <c r="K81" s="13">
        <f>SUM(K79:K80)</f>
        <v>0</v>
      </c>
    </row>
    <row r="82" spans="1:14" x14ac:dyDescent="0.3">
      <c r="A82" s="64"/>
      <c r="B82" s="67"/>
      <c r="C82" s="67"/>
      <c r="D82" s="67"/>
      <c r="E82" s="14"/>
      <c r="J82" s="113"/>
      <c r="K82" s="67">
        <f>J81-K81</f>
        <v>90</v>
      </c>
      <c r="L82" s="13" t="str">
        <f>L77</f>
        <v>SK Dt</v>
      </c>
    </row>
    <row r="83" spans="1:14" x14ac:dyDescent="0.3">
      <c r="B83" s="13"/>
      <c r="C83" s="13"/>
      <c r="D83" s="13"/>
      <c r="E83" s="14"/>
    </row>
    <row r="84" spans="1:14" x14ac:dyDescent="0.3">
      <c r="B84" s="13"/>
      <c r="C84" s="13"/>
      <c r="D84" s="13"/>
      <c r="E84" s="14"/>
    </row>
    <row r="85" spans="1:14" x14ac:dyDescent="0.3">
      <c r="A85" s="64" t="s">
        <v>140</v>
      </c>
      <c r="B85" s="13"/>
      <c r="C85" s="13"/>
      <c r="D85" s="13"/>
      <c r="E85" s="14"/>
      <c r="I85" s="48"/>
      <c r="J85" s="13"/>
    </row>
    <row r="86" spans="1:14" ht="31.2" x14ac:dyDescent="0.3">
      <c r="A86" s="1"/>
      <c r="B86" s="2" t="s">
        <v>105</v>
      </c>
      <c r="C86" s="2" t="s">
        <v>106</v>
      </c>
      <c r="D86" s="3" t="s">
        <v>107</v>
      </c>
      <c r="E86" s="4" t="s">
        <v>108</v>
      </c>
      <c r="G86" s="64" t="s">
        <v>140</v>
      </c>
      <c r="L86" s="13"/>
    </row>
    <row r="87" spans="1:14" x14ac:dyDescent="0.3">
      <c r="A87" s="6" t="s">
        <v>109</v>
      </c>
      <c r="B87" s="7">
        <v>200</v>
      </c>
      <c r="C87" s="7">
        <v>36</v>
      </c>
      <c r="D87" s="7">
        <f>B87+C87</f>
        <v>236</v>
      </c>
      <c r="E87" s="4"/>
      <c r="G87" s="47" t="s">
        <v>145</v>
      </c>
      <c r="H87" s="47"/>
      <c r="J87" s="47" t="s">
        <v>9</v>
      </c>
      <c r="K87" s="47"/>
    </row>
    <row r="88" spans="1:14" ht="31.2" x14ac:dyDescent="0.3">
      <c r="A88" s="1" t="s">
        <v>110</v>
      </c>
      <c r="B88" s="2">
        <v>120</v>
      </c>
      <c r="C88" s="2">
        <v>26</v>
      </c>
      <c r="D88" s="2">
        <f>B88+C88</f>
        <v>146</v>
      </c>
      <c r="E88" s="4" t="s">
        <v>111</v>
      </c>
      <c r="F88" s="48" t="str">
        <f>L89</f>
        <v>podwyższenie kapitału zakładowego</v>
      </c>
      <c r="G88" s="50">
        <f>K89</f>
        <v>13</v>
      </c>
      <c r="H88" s="13">
        <f>J117</f>
        <v>26</v>
      </c>
      <c r="I88" s="48" t="str">
        <f>I117</f>
        <v>przejęcie aktywa trwałe</v>
      </c>
      <c r="J88" s="50"/>
      <c r="K88" s="13">
        <f>B92</f>
        <v>20</v>
      </c>
      <c r="L88" s="5" t="s">
        <v>34</v>
      </c>
    </row>
    <row r="89" spans="1:14" ht="31.2" x14ac:dyDescent="0.3">
      <c r="A89" s="1" t="s">
        <v>112</v>
      </c>
      <c r="B89" s="2">
        <v>80</v>
      </c>
      <c r="C89" s="2">
        <v>10</v>
      </c>
      <c r="D89" s="2">
        <f>B89+C89</f>
        <v>90</v>
      </c>
      <c r="E89" s="4" t="s">
        <v>113</v>
      </c>
      <c r="F89" s="5" t="str">
        <f>A76</f>
        <v xml:space="preserve">dopłaty dla wspólników </v>
      </c>
      <c r="G89" s="57">
        <f>B76</f>
        <v>0.5</v>
      </c>
      <c r="H89" s="13">
        <f>J122</f>
        <v>10</v>
      </c>
      <c r="I89" s="48" t="str">
        <f>I122</f>
        <v>przejęcie aktywa obrotowe</v>
      </c>
      <c r="J89" s="114"/>
      <c r="K89" s="125">
        <f>B75</f>
        <v>13</v>
      </c>
      <c r="L89" s="5" t="str">
        <f>A75</f>
        <v>podwyższenie kapitału zakładowego</v>
      </c>
    </row>
    <row r="90" spans="1:14" ht="31.2" x14ac:dyDescent="0.3">
      <c r="A90" s="6" t="s">
        <v>114</v>
      </c>
      <c r="B90" s="7">
        <v>200</v>
      </c>
      <c r="C90" s="7">
        <v>36</v>
      </c>
      <c r="D90" s="7">
        <f>D91+D95</f>
        <v>236</v>
      </c>
      <c r="E90" s="4"/>
      <c r="F90" s="48" t="str">
        <f>L95</f>
        <v>przejęcie kapitał zapasowy</v>
      </c>
      <c r="G90" s="52">
        <f>K95</f>
        <v>10</v>
      </c>
      <c r="J90" s="50">
        <f>SUM(J88:J89)</f>
        <v>0</v>
      </c>
      <c r="K90" s="13">
        <f>SUM(K88:K89)</f>
        <v>33</v>
      </c>
    </row>
    <row r="91" spans="1:14" ht="31.2" x14ac:dyDescent="0.3">
      <c r="A91" s="1" t="s">
        <v>115</v>
      </c>
      <c r="B91" s="8">
        <v>30</v>
      </c>
      <c r="C91" s="8">
        <v>20</v>
      </c>
      <c r="D91" s="2">
        <f>D92+D93+D94</f>
        <v>49.5</v>
      </c>
      <c r="E91" s="4" t="s">
        <v>116</v>
      </c>
      <c r="F91" s="48" t="str">
        <f>L112</f>
        <v>przejęcie rezerwy i zobowiązania</v>
      </c>
      <c r="G91" s="114">
        <f>K112</f>
        <v>16</v>
      </c>
      <c r="H91" s="47"/>
      <c r="I91" s="5" t="s">
        <v>152</v>
      </c>
      <c r="J91" s="124">
        <f>K90</f>
        <v>33</v>
      </c>
    </row>
    <row r="92" spans="1:14" x14ac:dyDescent="0.3">
      <c r="A92" s="9" t="s">
        <v>117</v>
      </c>
      <c r="B92" s="8">
        <v>20</v>
      </c>
      <c r="C92" s="8">
        <v>10</v>
      </c>
      <c r="D92" s="8">
        <f>B92+B75</f>
        <v>33</v>
      </c>
      <c r="E92" s="10" t="s">
        <v>155</v>
      </c>
      <c r="F92" s="5" t="s">
        <v>148</v>
      </c>
      <c r="G92" s="52">
        <f>SUM(G88:G91)</f>
        <v>39.5</v>
      </c>
      <c r="H92" s="13">
        <f>SUM(H88:H91)</f>
        <v>36</v>
      </c>
    </row>
    <row r="93" spans="1:14" x14ac:dyDescent="0.3">
      <c r="A93" s="9" t="s">
        <v>118</v>
      </c>
      <c r="B93" s="8">
        <v>10</v>
      </c>
      <c r="C93" s="12">
        <v>10</v>
      </c>
      <c r="D93" s="8">
        <v>20</v>
      </c>
      <c r="E93" s="10" t="s">
        <v>156</v>
      </c>
      <c r="F93" s="11"/>
      <c r="G93" s="120"/>
      <c r="H93" s="121">
        <f>G92-H92</f>
        <v>3.5</v>
      </c>
      <c r="I93" s="117"/>
      <c r="J93" s="47" t="s">
        <v>14</v>
      </c>
      <c r="K93" s="47"/>
      <c r="M93" s="11"/>
      <c r="N93" s="11"/>
    </row>
    <row r="94" spans="1:14" x14ac:dyDescent="0.3">
      <c r="A94" s="137" t="s">
        <v>126</v>
      </c>
      <c r="B94" s="138">
        <v>0</v>
      </c>
      <c r="C94" s="139">
        <v>0</v>
      </c>
      <c r="D94" s="140">
        <f>B78</f>
        <v>-3.5</v>
      </c>
      <c r="E94" s="127" t="s">
        <v>160</v>
      </c>
      <c r="F94" s="11"/>
      <c r="G94" s="57">
        <f>SUM(G92:G93)</f>
        <v>39.5</v>
      </c>
      <c r="H94" s="56">
        <f>SUM(H92:H93)</f>
        <v>39.5</v>
      </c>
      <c r="I94" s="11"/>
      <c r="J94" s="50"/>
      <c r="K94" s="13">
        <f>B93</f>
        <v>10</v>
      </c>
      <c r="L94" s="5" t="s">
        <v>34</v>
      </c>
      <c r="M94" s="11"/>
      <c r="N94" s="11"/>
    </row>
    <row r="95" spans="1:14" x14ac:dyDescent="0.3">
      <c r="A95" s="1" t="s">
        <v>119</v>
      </c>
      <c r="B95" s="8">
        <v>170</v>
      </c>
      <c r="C95" s="8">
        <v>16</v>
      </c>
      <c r="D95" s="2">
        <f>B95+C95+B76</f>
        <v>186.5</v>
      </c>
      <c r="E95" s="10" t="s">
        <v>157</v>
      </c>
      <c r="G95" s="113"/>
      <c r="J95" s="113"/>
      <c r="K95" s="13">
        <f>C93</f>
        <v>10</v>
      </c>
      <c r="L95" s="5" t="s">
        <v>149</v>
      </c>
    </row>
    <row r="96" spans="1:14" x14ac:dyDescent="0.3">
      <c r="A96" s="29" t="s">
        <v>120</v>
      </c>
      <c r="I96" s="48"/>
      <c r="J96" s="122"/>
      <c r="K96" s="115"/>
    </row>
    <row r="97" spans="9:14" x14ac:dyDescent="0.3">
      <c r="J97" s="50">
        <f>SUM(J94:J96)</f>
        <v>0</v>
      </c>
      <c r="K97" s="13">
        <f>SUM(K94:K96)</f>
        <v>20</v>
      </c>
      <c r="L97" s="13"/>
    </row>
    <row r="98" spans="9:14" x14ac:dyDescent="0.3">
      <c r="I98" s="5" t="s">
        <v>152</v>
      </c>
      <c r="J98" s="124">
        <f>K97-J97</f>
        <v>20</v>
      </c>
      <c r="K98" s="13"/>
      <c r="L98" s="13"/>
    </row>
    <row r="99" spans="9:14" x14ac:dyDescent="0.3">
      <c r="J99" s="67"/>
      <c r="K99" s="13"/>
      <c r="L99" s="13"/>
    </row>
    <row r="100" spans="9:14" x14ac:dyDescent="0.3">
      <c r="J100" s="67"/>
      <c r="K100" s="13"/>
      <c r="L100" s="13"/>
    </row>
    <row r="101" spans="9:14" x14ac:dyDescent="0.3">
      <c r="I101" s="117"/>
      <c r="J101" s="47" t="str">
        <f>A94</f>
        <v xml:space="preserve">         kapitał z roliczenia połączenia</v>
      </c>
      <c r="K101" s="47"/>
      <c r="M101" s="11"/>
      <c r="N101" s="11"/>
    </row>
    <row r="102" spans="9:14" x14ac:dyDescent="0.3">
      <c r="I102" s="11"/>
      <c r="J102" s="50">
        <f>H93</f>
        <v>3.5</v>
      </c>
      <c r="K102" s="13">
        <f>B101</f>
        <v>0</v>
      </c>
      <c r="L102" s="5" t="s">
        <v>34</v>
      </c>
      <c r="M102" s="11"/>
      <c r="N102" s="11"/>
    </row>
    <row r="103" spans="9:14" x14ac:dyDescent="0.3">
      <c r="J103" s="113"/>
      <c r="K103" s="13"/>
    </row>
    <row r="104" spans="9:14" x14ac:dyDescent="0.3">
      <c r="I104" s="48"/>
      <c r="J104" s="122"/>
      <c r="K104" s="115"/>
    </row>
    <row r="105" spans="9:14" x14ac:dyDescent="0.3">
      <c r="J105" s="50">
        <f>SUM(J102:J104)</f>
        <v>3.5</v>
      </c>
      <c r="K105" s="13">
        <f>SUM(K102:K104)</f>
        <v>0</v>
      </c>
      <c r="L105" s="13"/>
    </row>
    <row r="106" spans="9:14" x14ac:dyDescent="0.3">
      <c r="J106" s="124"/>
      <c r="K106" s="67">
        <f>J105-K105</f>
        <v>3.5</v>
      </c>
      <c r="L106" s="5" t="s">
        <v>153</v>
      </c>
    </row>
    <row r="107" spans="9:14" x14ac:dyDescent="0.3">
      <c r="J107" s="67"/>
      <c r="K107" s="13"/>
      <c r="L107" s="13"/>
    </row>
    <row r="108" spans="9:14" x14ac:dyDescent="0.3">
      <c r="J108" s="67"/>
      <c r="K108" s="13"/>
      <c r="L108" s="13"/>
    </row>
    <row r="109" spans="9:14" x14ac:dyDescent="0.3">
      <c r="J109" s="47" t="s">
        <v>119</v>
      </c>
      <c r="K109" s="47"/>
    </row>
    <row r="110" spans="9:14" x14ac:dyDescent="0.3">
      <c r="J110" s="50"/>
      <c r="K110" s="13">
        <f>B95</f>
        <v>170</v>
      </c>
      <c r="L110" s="5" t="s">
        <v>34</v>
      </c>
    </row>
    <row r="111" spans="9:14" x14ac:dyDescent="0.3">
      <c r="J111" s="113"/>
      <c r="K111" s="13">
        <f>G89</f>
        <v>0.5</v>
      </c>
      <c r="L111" s="5" t="str">
        <f>A76</f>
        <v xml:space="preserve">dopłaty dla wspólników </v>
      </c>
    </row>
    <row r="112" spans="9:14" x14ac:dyDescent="0.3">
      <c r="J112" s="119"/>
      <c r="K112" s="118">
        <f>C95</f>
        <v>16</v>
      </c>
      <c r="L112" s="5" t="s">
        <v>150</v>
      </c>
    </row>
    <row r="113" spans="9:12" x14ac:dyDescent="0.3">
      <c r="J113" s="50">
        <f>SUM(J110:J112)</f>
        <v>0</v>
      </c>
      <c r="K113" s="13">
        <f>SUM(K110:K112)</f>
        <v>186.5</v>
      </c>
    </row>
    <row r="114" spans="9:12" x14ac:dyDescent="0.3">
      <c r="I114" s="5" t="s">
        <v>154</v>
      </c>
      <c r="J114" s="124">
        <f>K113-J113</f>
        <v>186.5</v>
      </c>
      <c r="K114" s="13"/>
    </row>
    <row r="115" spans="9:12" x14ac:dyDescent="0.3">
      <c r="J115" s="47" t="str">
        <f>A88</f>
        <v>Aktywa trwałe</v>
      </c>
      <c r="K115" s="47"/>
    </row>
    <row r="116" spans="9:12" x14ac:dyDescent="0.3">
      <c r="I116" s="5" t="s">
        <v>34</v>
      </c>
      <c r="J116" s="50">
        <f>B88</f>
        <v>120</v>
      </c>
      <c r="K116" s="13"/>
    </row>
    <row r="117" spans="9:12" x14ac:dyDescent="0.3">
      <c r="I117" s="48" t="s">
        <v>146</v>
      </c>
      <c r="J117" s="114">
        <f>C88</f>
        <v>26</v>
      </c>
      <c r="K117" s="47"/>
    </row>
    <row r="118" spans="9:12" x14ac:dyDescent="0.3">
      <c r="J118" s="52">
        <f>SUM(J116:J117)</f>
        <v>146</v>
      </c>
      <c r="K118" s="13">
        <f>SUM(K116:K117)</f>
        <v>0</v>
      </c>
    </row>
    <row r="119" spans="9:12" x14ac:dyDescent="0.3">
      <c r="J119" s="52"/>
      <c r="K119" s="67">
        <f>J118-K118</f>
        <v>146</v>
      </c>
      <c r="L119" s="5" t="s">
        <v>153</v>
      </c>
    </row>
    <row r="120" spans="9:12" x14ac:dyDescent="0.3">
      <c r="J120" s="47" t="str">
        <f>A89</f>
        <v>Aktywa obrotowe</v>
      </c>
      <c r="K120" s="47"/>
    </row>
    <row r="121" spans="9:12" x14ac:dyDescent="0.3">
      <c r="I121" s="5" t="s">
        <v>34</v>
      </c>
      <c r="J121" s="50">
        <f>B89</f>
        <v>80</v>
      </c>
      <c r="K121" s="13"/>
    </row>
    <row r="122" spans="9:12" ht="31.2" x14ac:dyDescent="0.3">
      <c r="I122" s="48" t="s">
        <v>147</v>
      </c>
      <c r="J122" s="114">
        <f>C89</f>
        <v>10</v>
      </c>
      <c r="K122" s="47"/>
    </row>
    <row r="123" spans="9:12" x14ac:dyDescent="0.3">
      <c r="I123" s="5" t="s">
        <v>148</v>
      </c>
      <c r="J123" s="50">
        <f>SUM(J121:J122)</f>
        <v>90</v>
      </c>
      <c r="K123" s="13">
        <f>SUM(K121:K122)</f>
        <v>0</v>
      </c>
    </row>
    <row r="124" spans="9:12" x14ac:dyDescent="0.3">
      <c r="J124" s="113"/>
      <c r="K124" s="67">
        <f>J123-K123</f>
        <v>90</v>
      </c>
      <c r="L124" s="13" t="str">
        <f>L119</f>
        <v>SK Dt</v>
      </c>
    </row>
  </sheetData>
  <mergeCells count="2">
    <mergeCell ref="B46:C46"/>
    <mergeCell ref="D46:E46"/>
  </mergeCells>
  <printOptions horizontalCentered="1"/>
  <pageMargins left="0.11811023622047245" right="0.70866141732283472" top="0.15748031496062992" bottom="0.15748031496062992" header="0.31496062992125984" footer="0.31496062992125984"/>
  <pageSetup paperSize="9" scale="38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ABCB-74E2-4D58-8659-438C05A66118}">
  <sheetPr>
    <tabColor rgb="FF00B0F0"/>
  </sheetPr>
  <dimension ref="B1:K19"/>
  <sheetViews>
    <sheetView tabSelected="1" zoomScaleNormal="100" workbookViewId="0">
      <selection activeCell="J8" sqref="J8"/>
    </sheetView>
  </sheetViews>
  <sheetFormatPr defaultColWidth="9.109375" defaultRowHeight="15.6" x14ac:dyDescent="0.3"/>
  <cols>
    <col min="1" max="1" width="9.109375" style="81"/>
    <col min="2" max="2" width="9.21875" style="81" bestFit="1" customWidth="1"/>
    <col min="3" max="3" width="10.77734375" style="81" bestFit="1" customWidth="1"/>
    <col min="4" max="4" width="10.33203125" style="81" customWidth="1"/>
    <col min="5" max="5" width="10.109375" style="81" customWidth="1"/>
    <col min="6" max="6" width="11" style="81" customWidth="1"/>
    <col min="7" max="7" width="10.33203125" style="81" customWidth="1"/>
    <col min="8" max="9" width="10.6640625" style="81" customWidth="1"/>
    <col min="10" max="10" width="9.109375" style="81"/>
    <col min="11" max="11" width="9.6640625" style="81" bestFit="1" customWidth="1"/>
    <col min="12" max="12" width="9.109375" style="81"/>
    <col min="13" max="13" width="15.33203125" style="81" customWidth="1"/>
    <col min="14" max="14" width="19.88671875" style="81" customWidth="1"/>
    <col min="15" max="15" width="18.109375" style="81" customWidth="1"/>
    <col min="16" max="258" width="9.109375" style="81"/>
    <col min="259" max="259" width="8.44140625" style="81" customWidth="1"/>
    <col min="260" max="260" width="10.109375" style="81" customWidth="1"/>
    <col min="261" max="261" width="11" style="81" customWidth="1"/>
    <col min="262" max="262" width="10.33203125" style="81" customWidth="1"/>
    <col min="263" max="263" width="10.6640625" style="81" customWidth="1"/>
    <col min="264" max="264" width="10.44140625" style="81" customWidth="1"/>
    <col min="265" max="265" width="10.6640625" style="81" customWidth="1"/>
    <col min="266" max="268" width="9.109375" style="81"/>
    <col min="269" max="269" width="15.33203125" style="81" customWidth="1"/>
    <col min="270" max="270" width="19.88671875" style="81" customWidth="1"/>
    <col min="271" max="271" width="18.109375" style="81" customWidth="1"/>
    <col min="272" max="514" width="9.109375" style="81"/>
    <col min="515" max="515" width="8.44140625" style="81" customWidth="1"/>
    <col min="516" max="516" width="10.109375" style="81" customWidth="1"/>
    <col min="517" max="517" width="11" style="81" customWidth="1"/>
    <col min="518" max="518" width="10.33203125" style="81" customWidth="1"/>
    <col min="519" max="519" width="10.6640625" style="81" customWidth="1"/>
    <col min="520" max="520" width="10.44140625" style="81" customWidth="1"/>
    <col min="521" max="521" width="10.6640625" style="81" customWidth="1"/>
    <col min="522" max="524" width="9.109375" style="81"/>
    <col min="525" max="525" width="15.33203125" style="81" customWidth="1"/>
    <col min="526" max="526" width="19.88671875" style="81" customWidth="1"/>
    <col min="527" max="527" width="18.109375" style="81" customWidth="1"/>
    <col min="528" max="770" width="9.109375" style="81"/>
    <col min="771" max="771" width="8.44140625" style="81" customWidth="1"/>
    <col min="772" max="772" width="10.109375" style="81" customWidth="1"/>
    <col min="773" max="773" width="11" style="81" customWidth="1"/>
    <col min="774" max="774" width="10.33203125" style="81" customWidth="1"/>
    <col min="775" max="775" width="10.6640625" style="81" customWidth="1"/>
    <col min="776" max="776" width="10.44140625" style="81" customWidth="1"/>
    <col min="777" max="777" width="10.6640625" style="81" customWidth="1"/>
    <col min="778" max="780" width="9.109375" style="81"/>
    <col min="781" max="781" width="15.33203125" style="81" customWidth="1"/>
    <col min="782" max="782" width="19.88671875" style="81" customWidth="1"/>
    <col min="783" max="783" width="18.109375" style="81" customWidth="1"/>
    <col min="784" max="1026" width="9.109375" style="81"/>
    <col min="1027" max="1027" width="8.44140625" style="81" customWidth="1"/>
    <col min="1028" max="1028" width="10.109375" style="81" customWidth="1"/>
    <col min="1029" max="1029" width="11" style="81" customWidth="1"/>
    <col min="1030" max="1030" width="10.33203125" style="81" customWidth="1"/>
    <col min="1031" max="1031" width="10.6640625" style="81" customWidth="1"/>
    <col min="1032" max="1032" width="10.44140625" style="81" customWidth="1"/>
    <col min="1033" max="1033" width="10.6640625" style="81" customWidth="1"/>
    <col min="1034" max="1036" width="9.109375" style="81"/>
    <col min="1037" max="1037" width="15.33203125" style="81" customWidth="1"/>
    <col min="1038" max="1038" width="19.88671875" style="81" customWidth="1"/>
    <col min="1039" max="1039" width="18.109375" style="81" customWidth="1"/>
    <col min="1040" max="1282" width="9.109375" style="81"/>
    <col min="1283" max="1283" width="8.44140625" style="81" customWidth="1"/>
    <col min="1284" max="1284" width="10.109375" style="81" customWidth="1"/>
    <col min="1285" max="1285" width="11" style="81" customWidth="1"/>
    <col min="1286" max="1286" width="10.33203125" style="81" customWidth="1"/>
    <col min="1287" max="1287" width="10.6640625" style="81" customWidth="1"/>
    <col min="1288" max="1288" width="10.44140625" style="81" customWidth="1"/>
    <col min="1289" max="1289" width="10.6640625" style="81" customWidth="1"/>
    <col min="1290" max="1292" width="9.109375" style="81"/>
    <col min="1293" max="1293" width="15.33203125" style="81" customWidth="1"/>
    <col min="1294" max="1294" width="19.88671875" style="81" customWidth="1"/>
    <col min="1295" max="1295" width="18.109375" style="81" customWidth="1"/>
    <col min="1296" max="1538" width="9.109375" style="81"/>
    <col min="1539" max="1539" width="8.44140625" style="81" customWidth="1"/>
    <col min="1540" max="1540" width="10.109375" style="81" customWidth="1"/>
    <col min="1541" max="1541" width="11" style="81" customWidth="1"/>
    <col min="1542" max="1542" width="10.33203125" style="81" customWidth="1"/>
    <col min="1543" max="1543" width="10.6640625" style="81" customWidth="1"/>
    <col min="1544" max="1544" width="10.44140625" style="81" customWidth="1"/>
    <col min="1545" max="1545" width="10.6640625" style="81" customWidth="1"/>
    <col min="1546" max="1548" width="9.109375" style="81"/>
    <col min="1549" max="1549" width="15.33203125" style="81" customWidth="1"/>
    <col min="1550" max="1550" width="19.88671875" style="81" customWidth="1"/>
    <col min="1551" max="1551" width="18.109375" style="81" customWidth="1"/>
    <col min="1552" max="1794" width="9.109375" style="81"/>
    <col min="1795" max="1795" width="8.44140625" style="81" customWidth="1"/>
    <col min="1796" max="1796" width="10.109375" style="81" customWidth="1"/>
    <col min="1797" max="1797" width="11" style="81" customWidth="1"/>
    <col min="1798" max="1798" width="10.33203125" style="81" customWidth="1"/>
    <col min="1799" max="1799" width="10.6640625" style="81" customWidth="1"/>
    <col min="1800" max="1800" width="10.44140625" style="81" customWidth="1"/>
    <col min="1801" max="1801" width="10.6640625" style="81" customWidth="1"/>
    <col min="1802" max="1804" width="9.109375" style="81"/>
    <col min="1805" max="1805" width="15.33203125" style="81" customWidth="1"/>
    <col min="1806" max="1806" width="19.88671875" style="81" customWidth="1"/>
    <col min="1807" max="1807" width="18.109375" style="81" customWidth="1"/>
    <col min="1808" max="2050" width="9.109375" style="81"/>
    <col min="2051" max="2051" width="8.44140625" style="81" customWidth="1"/>
    <col min="2052" max="2052" width="10.109375" style="81" customWidth="1"/>
    <col min="2053" max="2053" width="11" style="81" customWidth="1"/>
    <col min="2054" max="2054" width="10.33203125" style="81" customWidth="1"/>
    <col min="2055" max="2055" width="10.6640625" style="81" customWidth="1"/>
    <col min="2056" max="2056" width="10.44140625" style="81" customWidth="1"/>
    <col min="2057" max="2057" width="10.6640625" style="81" customWidth="1"/>
    <col min="2058" max="2060" width="9.109375" style="81"/>
    <col min="2061" max="2061" width="15.33203125" style="81" customWidth="1"/>
    <col min="2062" max="2062" width="19.88671875" style="81" customWidth="1"/>
    <col min="2063" max="2063" width="18.109375" style="81" customWidth="1"/>
    <col min="2064" max="2306" width="9.109375" style="81"/>
    <col min="2307" max="2307" width="8.44140625" style="81" customWidth="1"/>
    <col min="2308" max="2308" width="10.109375" style="81" customWidth="1"/>
    <col min="2309" max="2309" width="11" style="81" customWidth="1"/>
    <col min="2310" max="2310" width="10.33203125" style="81" customWidth="1"/>
    <col min="2311" max="2311" width="10.6640625" style="81" customWidth="1"/>
    <col min="2312" max="2312" width="10.44140625" style="81" customWidth="1"/>
    <col min="2313" max="2313" width="10.6640625" style="81" customWidth="1"/>
    <col min="2314" max="2316" width="9.109375" style="81"/>
    <col min="2317" max="2317" width="15.33203125" style="81" customWidth="1"/>
    <col min="2318" max="2318" width="19.88671875" style="81" customWidth="1"/>
    <col min="2319" max="2319" width="18.109375" style="81" customWidth="1"/>
    <col min="2320" max="2562" width="9.109375" style="81"/>
    <col min="2563" max="2563" width="8.44140625" style="81" customWidth="1"/>
    <col min="2564" max="2564" width="10.109375" style="81" customWidth="1"/>
    <col min="2565" max="2565" width="11" style="81" customWidth="1"/>
    <col min="2566" max="2566" width="10.33203125" style="81" customWidth="1"/>
    <col min="2567" max="2567" width="10.6640625" style="81" customWidth="1"/>
    <col min="2568" max="2568" width="10.44140625" style="81" customWidth="1"/>
    <col min="2569" max="2569" width="10.6640625" style="81" customWidth="1"/>
    <col min="2570" max="2572" width="9.109375" style="81"/>
    <col min="2573" max="2573" width="15.33203125" style="81" customWidth="1"/>
    <col min="2574" max="2574" width="19.88671875" style="81" customWidth="1"/>
    <col min="2575" max="2575" width="18.109375" style="81" customWidth="1"/>
    <col min="2576" max="2818" width="9.109375" style="81"/>
    <col min="2819" max="2819" width="8.44140625" style="81" customWidth="1"/>
    <col min="2820" max="2820" width="10.109375" style="81" customWidth="1"/>
    <col min="2821" max="2821" width="11" style="81" customWidth="1"/>
    <col min="2822" max="2822" width="10.33203125" style="81" customWidth="1"/>
    <col min="2823" max="2823" width="10.6640625" style="81" customWidth="1"/>
    <col min="2824" max="2824" width="10.44140625" style="81" customWidth="1"/>
    <col min="2825" max="2825" width="10.6640625" style="81" customWidth="1"/>
    <col min="2826" max="2828" width="9.109375" style="81"/>
    <col min="2829" max="2829" width="15.33203125" style="81" customWidth="1"/>
    <col min="2830" max="2830" width="19.88671875" style="81" customWidth="1"/>
    <col min="2831" max="2831" width="18.109375" style="81" customWidth="1"/>
    <col min="2832" max="3074" width="9.109375" style="81"/>
    <col min="3075" max="3075" width="8.44140625" style="81" customWidth="1"/>
    <col min="3076" max="3076" width="10.109375" style="81" customWidth="1"/>
    <col min="3077" max="3077" width="11" style="81" customWidth="1"/>
    <col min="3078" max="3078" width="10.33203125" style="81" customWidth="1"/>
    <col min="3079" max="3079" width="10.6640625" style="81" customWidth="1"/>
    <col min="3080" max="3080" width="10.44140625" style="81" customWidth="1"/>
    <col min="3081" max="3081" width="10.6640625" style="81" customWidth="1"/>
    <col min="3082" max="3084" width="9.109375" style="81"/>
    <col min="3085" max="3085" width="15.33203125" style="81" customWidth="1"/>
    <col min="3086" max="3086" width="19.88671875" style="81" customWidth="1"/>
    <col min="3087" max="3087" width="18.109375" style="81" customWidth="1"/>
    <col min="3088" max="3330" width="9.109375" style="81"/>
    <col min="3331" max="3331" width="8.44140625" style="81" customWidth="1"/>
    <col min="3332" max="3332" width="10.109375" style="81" customWidth="1"/>
    <col min="3333" max="3333" width="11" style="81" customWidth="1"/>
    <col min="3334" max="3334" width="10.33203125" style="81" customWidth="1"/>
    <col min="3335" max="3335" width="10.6640625" style="81" customWidth="1"/>
    <col min="3336" max="3336" width="10.44140625" style="81" customWidth="1"/>
    <col min="3337" max="3337" width="10.6640625" style="81" customWidth="1"/>
    <col min="3338" max="3340" width="9.109375" style="81"/>
    <col min="3341" max="3341" width="15.33203125" style="81" customWidth="1"/>
    <col min="3342" max="3342" width="19.88671875" style="81" customWidth="1"/>
    <col min="3343" max="3343" width="18.109375" style="81" customWidth="1"/>
    <col min="3344" max="3586" width="9.109375" style="81"/>
    <col min="3587" max="3587" width="8.44140625" style="81" customWidth="1"/>
    <col min="3588" max="3588" width="10.109375" style="81" customWidth="1"/>
    <col min="3589" max="3589" width="11" style="81" customWidth="1"/>
    <col min="3590" max="3590" width="10.33203125" style="81" customWidth="1"/>
    <col min="3591" max="3591" width="10.6640625" style="81" customWidth="1"/>
    <col min="3592" max="3592" width="10.44140625" style="81" customWidth="1"/>
    <col min="3593" max="3593" width="10.6640625" style="81" customWidth="1"/>
    <col min="3594" max="3596" width="9.109375" style="81"/>
    <col min="3597" max="3597" width="15.33203125" style="81" customWidth="1"/>
    <col min="3598" max="3598" width="19.88671875" style="81" customWidth="1"/>
    <col min="3599" max="3599" width="18.109375" style="81" customWidth="1"/>
    <col min="3600" max="3842" width="9.109375" style="81"/>
    <col min="3843" max="3843" width="8.44140625" style="81" customWidth="1"/>
    <col min="3844" max="3844" width="10.109375" style="81" customWidth="1"/>
    <col min="3845" max="3845" width="11" style="81" customWidth="1"/>
    <col min="3846" max="3846" width="10.33203125" style="81" customWidth="1"/>
    <col min="3847" max="3847" width="10.6640625" style="81" customWidth="1"/>
    <col min="3848" max="3848" width="10.44140625" style="81" customWidth="1"/>
    <col min="3849" max="3849" width="10.6640625" style="81" customWidth="1"/>
    <col min="3850" max="3852" width="9.109375" style="81"/>
    <col min="3853" max="3853" width="15.33203125" style="81" customWidth="1"/>
    <col min="3854" max="3854" width="19.88671875" style="81" customWidth="1"/>
    <col min="3855" max="3855" width="18.109375" style="81" customWidth="1"/>
    <col min="3856" max="4098" width="9.109375" style="81"/>
    <col min="4099" max="4099" width="8.44140625" style="81" customWidth="1"/>
    <col min="4100" max="4100" width="10.109375" style="81" customWidth="1"/>
    <col min="4101" max="4101" width="11" style="81" customWidth="1"/>
    <col min="4102" max="4102" width="10.33203125" style="81" customWidth="1"/>
    <col min="4103" max="4103" width="10.6640625" style="81" customWidth="1"/>
    <col min="4104" max="4104" width="10.44140625" style="81" customWidth="1"/>
    <col min="4105" max="4105" width="10.6640625" style="81" customWidth="1"/>
    <col min="4106" max="4108" width="9.109375" style="81"/>
    <col min="4109" max="4109" width="15.33203125" style="81" customWidth="1"/>
    <col min="4110" max="4110" width="19.88671875" style="81" customWidth="1"/>
    <col min="4111" max="4111" width="18.109375" style="81" customWidth="1"/>
    <col min="4112" max="4354" width="9.109375" style="81"/>
    <col min="4355" max="4355" width="8.44140625" style="81" customWidth="1"/>
    <col min="4356" max="4356" width="10.109375" style="81" customWidth="1"/>
    <col min="4357" max="4357" width="11" style="81" customWidth="1"/>
    <col min="4358" max="4358" width="10.33203125" style="81" customWidth="1"/>
    <col min="4359" max="4359" width="10.6640625" style="81" customWidth="1"/>
    <col min="4360" max="4360" width="10.44140625" style="81" customWidth="1"/>
    <col min="4361" max="4361" width="10.6640625" style="81" customWidth="1"/>
    <col min="4362" max="4364" width="9.109375" style="81"/>
    <col min="4365" max="4365" width="15.33203125" style="81" customWidth="1"/>
    <col min="4366" max="4366" width="19.88671875" style="81" customWidth="1"/>
    <col min="4367" max="4367" width="18.109375" style="81" customWidth="1"/>
    <col min="4368" max="4610" width="9.109375" style="81"/>
    <col min="4611" max="4611" width="8.44140625" style="81" customWidth="1"/>
    <col min="4612" max="4612" width="10.109375" style="81" customWidth="1"/>
    <col min="4613" max="4613" width="11" style="81" customWidth="1"/>
    <col min="4614" max="4614" width="10.33203125" style="81" customWidth="1"/>
    <col min="4615" max="4615" width="10.6640625" style="81" customWidth="1"/>
    <col min="4616" max="4616" width="10.44140625" style="81" customWidth="1"/>
    <col min="4617" max="4617" width="10.6640625" style="81" customWidth="1"/>
    <col min="4618" max="4620" width="9.109375" style="81"/>
    <col min="4621" max="4621" width="15.33203125" style="81" customWidth="1"/>
    <col min="4622" max="4622" width="19.88671875" style="81" customWidth="1"/>
    <col min="4623" max="4623" width="18.109375" style="81" customWidth="1"/>
    <col min="4624" max="4866" width="9.109375" style="81"/>
    <col min="4867" max="4867" width="8.44140625" style="81" customWidth="1"/>
    <col min="4868" max="4868" width="10.109375" style="81" customWidth="1"/>
    <col min="4869" max="4869" width="11" style="81" customWidth="1"/>
    <col min="4870" max="4870" width="10.33203125" style="81" customWidth="1"/>
    <col min="4871" max="4871" width="10.6640625" style="81" customWidth="1"/>
    <col min="4872" max="4872" width="10.44140625" style="81" customWidth="1"/>
    <col min="4873" max="4873" width="10.6640625" style="81" customWidth="1"/>
    <col min="4874" max="4876" width="9.109375" style="81"/>
    <col min="4877" max="4877" width="15.33203125" style="81" customWidth="1"/>
    <col min="4878" max="4878" width="19.88671875" style="81" customWidth="1"/>
    <col min="4879" max="4879" width="18.109375" style="81" customWidth="1"/>
    <col min="4880" max="5122" width="9.109375" style="81"/>
    <col min="5123" max="5123" width="8.44140625" style="81" customWidth="1"/>
    <col min="5124" max="5124" width="10.109375" style="81" customWidth="1"/>
    <col min="5125" max="5125" width="11" style="81" customWidth="1"/>
    <col min="5126" max="5126" width="10.33203125" style="81" customWidth="1"/>
    <col min="5127" max="5127" width="10.6640625" style="81" customWidth="1"/>
    <col min="5128" max="5128" width="10.44140625" style="81" customWidth="1"/>
    <col min="5129" max="5129" width="10.6640625" style="81" customWidth="1"/>
    <col min="5130" max="5132" width="9.109375" style="81"/>
    <col min="5133" max="5133" width="15.33203125" style="81" customWidth="1"/>
    <col min="5134" max="5134" width="19.88671875" style="81" customWidth="1"/>
    <col min="5135" max="5135" width="18.109375" style="81" customWidth="1"/>
    <col min="5136" max="5378" width="9.109375" style="81"/>
    <col min="5379" max="5379" width="8.44140625" style="81" customWidth="1"/>
    <col min="5380" max="5380" width="10.109375" style="81" customWidth="1"/>
    <col min="5381" max="5381" width="11" style="81" customWidth="1"/>
    <col min="5382" max="5382" width="10.33203125" style="81" customWidth="1"/>
    <col min="5383" max="5383" width="10.6640625" style="81" customWidth="1"/>
    <col min="5384" max="5384" width="10.44140625" style="81" customWidth="1"/>
    <col min="5385" max="5385" width="10.6640625" style="81" customWidth="1"/>
    <col min="5386" max="5388" width="9.109375" style="81"/>
    <col min="5389" max="5389" width="15.33203125" style="81" customWidth="1"/>
    <col min="5390" max="5390" width="19.88671875" style="81" customWidth="1"/>
    <col min="5391" max="5391" width="18.109375" style="81" customWidth="1"/>
    <col min="5392" max="5634" width="9.109375" style="81"/>
    <col min="5635" max="5635" width="8.44140625" style="81" customWidth="1"/>
    <col min="5636" max="5636" width="10.109375" style="81" customWidth="1"/>
    <col min="5637" max="5637" width="11" style="81" customWidth="1"/>
    <col min="5638" max="5638" width="10.33203125" style="81" customWidth="1"/>
    <col min="5639" max="5639" width="10.6640625" style="81" customWidth="1"/>
    <col min="5640" max="5640" width="10.44140625" style="81" customWidth="1"/>
    <col min="5641" max="5641" width="10.6640625" style="81" customWidth="1"/>
    <col min="5642" max="5644" width="9.109375" style="81"/>
    <col min="5645" max="5645" width="15.33203125" style="81" customWidth="1"/>
    <col min="5646" max="5646" width="19.88671875" style="81" customWidth="1"/>
    <col min="5647" max="5647" width="18.109375" style="81" customWidth="1"/>
    <col min="5648" max="5890" width="9.109375" style="81"/>
    <col min="5891" max="5891" width="8.44140625" style="81" customWidth="1"/>
    <col min="5892" max="5892" width="10.109375" style="81" customWidth="1"/>
    <col min="5893" max="5893" width="11" style="81" customWidth="1"/>
    <col min="5894" max="5894" width="10.33203125" style="81" customWidth="1"/>
    <col min="5895" max="5895" width="10.6640625" style="81" customWidth="1"/>
    <col min="5896" max="5896" width="10.44140625" style="81" customWidth="1"/>
    <col min="5897" max="5897" width="10.6640625" style="81" customWidth="1"/>
    <col min="5898" max="5900" width="9.109375" style="81"/>
    <col min="5901" max="5901" width="15.33203125" style="81" customWidth="1"/>
    <col min="5902" max="5902" width="19.88671875" style="81" customWidth="1"/>
    <col min="5903" max="5903" width="18.109375" style="81" customWidth="1"/>
    <col min="5904" max="6146" width="9.109375" style="81"/>
    <col min="6147" max="6147" width="8.44140625" style="81" customWidth="1"/>
    <col min="6148" max="6148" width="10.109375" style="81" customWidth="1"/>
    <col min="6149" max="6149" width="11" style="81" customWidth="1"/>
    <col min="6150" max="6150" width="10.33203125" style="81" customWidth="1"/>
    <col min="6151" max="6151" width="10.6640625" style="81" customWidth="1"/>
    <col min="6152" max="6152" width="10.44140625" style="81" customWidth="1"/>
    <col min="6153" max="6153" width="10.6640625" style="81" customWidth="1"/>
    <col min="6154" max="6156" width="9.109375" style="81"/>
    <col min="6157" max="6157" width="15.33203125" style="81" customWidth="1"/>
    <col min="6158" max="6158" width="19.88671875" style="81" customWidth="1"/>
    <col min="6159" max="6159" width="18.109375" style="81" customWidth="1"/>
    <col min="6160" max="6402" width="9.109375" style="81"/>
    <col min="6403" max="6403" width="8.44140625" style="81" customWidth="1"/>
    <col min="6404" max="6404" width="10.109375" style="81" customWidth="1"/>
    <col min="6405" max="6405" width="11" style="81" customWidth="1"/>
    <col min="6406" max="6406" width="10.33203125" style="81" customWidth="1"/>
    <col min="6407" max="6407" width="10.6640625" style="81" customWidth="1"/>
    <col min="6408" max="6408" width="10.44140625" style="81" customWidth="1"/>
    <col min="6409" max="6409" width="10.6640625" style="81" customWidth="1"/>
    <col min="6410" max="6412" width="9.109375" style="81"/>
    <col min="6413" max="6413" width="15.33203125" style="81" customWidth="1"/>
    <col min="6414" max="6414" width="19.88671875" style="81" customWidth="1"/>
    <col min="6415" max="6415" width="18.109375" style="81" customWidth="1"/>
    <col min="6416" max="6658" width="9.109375" style="81"/>
    <col min="6659" max="6659" width="8.44140625" style="81" customWidth="1"/>
    <col min="6660" max="6660" width="10.109375" style="81" customWidth="1"/>
    <col min="6661" max="6661" width="11" style="81" customWidth="1"/>
    <col min="6662" max="6662" width="10.33203125" style="81" customWidth="1"/>
    <col min="6663" max="6663" width="10.6640625" style="81" customWidth="1"/>
    <col min="6664" max="6664" width="10.44140625" style="81" customWidth="1"/>
    <col min="6665" max="6665" width="10.6640625" style="81" customWidth="1"/>
    <col min="6666" max="6668" width="9.109375" style="81"/>
    <col min="6669" max="6669" width="15.33203125" style="81" customWidth="1"/>
    <col min="6670" max="6670" width="19.88671875" style="81" customWidth="1"/>
    <col min="6671" max="6671" width="18.109375" style="81" customWidth="1"/>
    <col min="6672" max="6914" width="9.109375" style="81"/>
    <col min="6915" max="6915" width="8.44140625" style="81" customWidth="1"/>
    <col min="6916" max="6916" width="10.109375" style="81" customWidth="1"/>
    <col min="6917" max="6917" width="11" style="81" customWidth="1"/>
    <col min="6918" max="6918" width="10.33203125" style="81" customWidth="1"/>
    <col min="6919" max="6919" width="10.6640625" style="81" customWidth="1"/>
    <col min="6920" max="6920" width="10.44140625" style="81" customWidth="1"/>
    <col min="6921" max="6921" width="10.6640625" style="81" customWidth="1"/>
    <col min="6922" max="6924" width="9.109375" style="81"/>
    <col min="6925" max="6925" width="15.33203125" style="81" customWidth="1"/>
    <col min="6926" max="6926" width="19.88671875" style="81" customWidth="1"/>
    <col min="6927" max="6927" width="18.109375" style="81" customWidth="1"/>
    <col min="6928" max="7170" width="9.109375" style="81"/>
    <col min="7171" max="7171" width="8.44140625" style="81" customWidth="1"/>
    <col min="7172" max="7172" width="10.109375" style="81" customWidth="1"/>
    <col min="7173" max="7173" width="11" style="81" customWidth="1"/>
    <col min="7174" max="7174" width="10.33203125" style="81" customWidth="1"/>
    <col min="7175" max="7175" width="10.6640625" style="81" customWidth="1"/>
    <col min="7176" max="7176" width="10.44140625" style="81" customWidth="1"/>
    <col min="7177" max="7177" width="10.6640625" style="81" customWidth="1"/>
    <col min="7178" max="7180" width="9.109375" style="81"/>
    <col min="7181" max="7181" width="15.33203125" style="81" customWidth="1"/>
    <col min="7182" max="7182" width="19.88671875" style="81" customWidth="1"/>
    <col min="7183" max="7183" width="18.109375" style="81" customWidth="1"/>
    <col min="7184" max="7426" width="9.109375" style="81"/>
    <col min="7427" max="7427" width="8.44140625" style="81" customWidth="1"/>
    <col min="7428" max="7428" width="10.109375" style="81" customWidth="1"/>
    <col min="7429" max="7429" width="11" style="81" customWidth="1"/>
    <col min="7430" max="7430" width="10.33203125" style="81" customWidth="1"/>
    <col min="7431" max="7431" width="10.6640625" style="81" customWidth="1"/>
    <col min="7432" max="7432" width="10.44140625" style="81" customWidth="1"/>
    <col min="7433" max="7433" width="10.6640625" style="81" customWidth="1"/>
    <col min="7434" max="7436" width="9.109375" style="81"/>
    <col min="7437" max="7437" width="15.33203125" style="81" customWidth="1"/>
    <col min="7438" max="7438" width="19.88671875" style="81" customWidth="1"/>
    <col min="7439" max="7439" width="18.109375" style="81" customWidth="1"/>
    <col min="7440" max="7682" width="9.109375" style="81"/>
    <col min="7683" max="7683" width="8.44140625" style="81" customWidth="1"/>
    <col min="7684" max="7684" width="10.109375" style="81" customWidth="1"/>
    <col min="7685" max="7685" width="11" style="81" customWidth="1"/>
    <col min="7686" max="7686" width="10.33203125" style="81" customWidth="1"/>
    <col min="7687" max="7687" width="10.6640625" style="81" customWidth="1"/>
    <col min="7688" max="7688" width="10.44140625" style="81" customWidth="1"/>
    <col min="7689" max="7689" width="10.6640625" style="81" customWidth="1"/>
    <col min="7690" max="7692" width="9.109375" style="81"/>
    <col min="7693" max="7693" width="15.33203125" style="81" customWidth="1"/>
    <col min="7694" max="7694" width="19.88671875" style="81" customWidth="1"/>
    <col min="7695" max="7695" width="18.109375" style="81" customWidth="1"/>
    <col min="7696" max="7938" width="9.109375" style="81"/>
    <col min="7939" max="7939" width="8.44140625" style="81" customWidth="1"/>
    <col min="7940" max="7940" width="10.109375" style="81" customWidth="1"/>
    <col min="7941" max="7941" width="11" style="81" customWidth="1"/>
    <col min="7942" max="7942" width="10.33203125" style="81" customWidth="1"/>
    <col min="7943" max="7943" width="10.6640625" style="81" customWidth="1"/>
    <col min="7944" max="7944" width="10.44140625" style="81" customWidth="1"/>
    <col min="7945" max="7945" width="10.6640625" style="81" customWidth="1"/>
    <col min="7946" max="7948" width="9.109375" style="81"/>
    <col min="7949" max="7949" width="15.33203125" style="81" customWidth="1"/>
    <col min="7950" max="7950" width="19.88671875" style="81" customWidth="1"/>
    <col min="7951" max="7951" width="18.109375" style="81" customWidth="1"/>
    <col min="7952" max="8194" width="9.109375" style="81"/>
    <col min="8195" max="8195" width="8.44140625" style="81" customWidth="1"/>
    <col min="8196" max="8196" width="10.109375" style="81" customWidth="1"/>
    <col min="8197" max="8197" width="11" style="81" customWidth="1"/>
    <col min="8198" max="8198" width="10.33203125" style="81" customWidth="1"/>
    <col min="8199" max="8199" width="10.6640625" style="81" customWidth="1"/>
    <col min="8200" max="8200" width="10.44140625" style="81" customWidth="1"/>
    <col min="8201" max="8201" width="10.6640625" style="81" customWidth="1"/>
    <col min="8202" max="8204" width="9.109375" style="81"/>
    <col min="8205" max="8205" width="15.33203125" style="81" customWidth="1"/>
    <col min="8206" max="8206" width="19.88671875" style="81" customWidth="1"/>
    <col min="8207" max="8207" width="18.109375" style="81" customWidth="1"/>
    <col min="8208" max="8450" width="9.109375" style="81"/>
    <col min="8451" max="8451" width="8.44140625" style="81" customWidth="1"/>
    <col min="8452" max="8452" width="10.109375" style="81" customWidth="1"/>
    <col min="8453" max="8453" width="11" style="81" customWidth="1"/>
    <col min="8454" max="8454" width="10.33203125" style="81" customWidth="1"/>
    <col min="8455" max="8455" width="10.6640625" style="81" customWidth="1"/>
    <col min="8456" max="8456" width="10.44140625" style="81" customWidth="1"/>
    <col min="8457" max="8457" width="10.6640625" style="81" customWidth="1"/>
    <col min="8458" max="8460" width="9.109375" style="81"/>
    <col min="8461" max="8461" width="15.33203125" style="81" customWidth="1"/>
    <col min="8462" max="8462" width="19.88671875" style="81" customWidth="1"/>
    <col min="8463" max="8463" width="18.109375" style="81" customWidth="1"/>
    <col min="8464" max="8706" width="9.109375" style="81"/>
    <col min="8707" max="8707" width="8.44140625" style="81" customWidth="1"/>
    <col min="8708" max="8708" width="10.109375" style="81" customWidth="1"/>
    <col min="8709" max="8709" width="11" style="81" customWidth="1"/>
    <col min="8710" max="8710" width="10.33203125" style="81" customWidth="1"/>
    <col min="8711" max="8711" width="10.6640625" style="81" customWidth="1"/>
    <col min="8712" max="8712" width="10.44140625" style="81" customWidth="1"/>
    <col min="8713" max="8713" width="10.6640625" style="81" customWidth="1"/>
    <col min="8714" max="8716" width="9.109375" style="81"/>
    <col min="8717" max="8717" width="15.33203125" style="81" customWidth="1"/>
    <col min="8718" max="8718" width="19.88671875" style="81" customWidth="1"/>
    <col min="8719" max="8719" width="18.109375" style="81" customWidth="1"/>
    <col min="8720" max="8962" width="9.109375" style="81"/>
    <col min="8963" max="8963" width="8.44140625" style="81" customWidth="1"/>
    <col min="8964" max="8964" width="10.109375" style="81" customWidth="1"/>
    <col min="8965" max="8965" width="11" style="81" customWidth="1"/>
    <col min="8966" max="8966" width="10.33203125" style="81" customWidth="1"/>
    <col min="8967" max="8967" width="10.6640625" style="81" customWidth="1"/>
    <col min="8968" max="8968" width="10.44140625" style="81" customWidth="1"/>
    <col min="8969" max="8969" width="10.6640625" style="81" customWidth="1"/>
    <col min="8970" max="8972" width="9.109375" style="81"/>
    <col min="8973" max="8973" width="15.33203125" style="81" customWidth="1"/>
    <col min="8974" max="8974" width="19.88671875" style="81" customWidth="1"/>
    <col min="8975" max="8975" width="18.109375" style="81" customWidth="1"/>
    <col min="8976" max="9218" width="9.109375" style="81"/>
    <col min="9219" max="9219" width="8.44140625" style="81" customWidth="1"/>
    <col min="9220" max="9220" width="10.109375" style="81" customWidth="1"/>
    <col min="9221" max="9221" width="11" style="81" customWidth="1"/>
    <col min="9222" max="9222" width="10.33203125" style="81" customWidth="1"/>
    <col min="9223" max="9223" width="10.6640625" style="81" customWidth="1"/>
    <col min="9224" max="9224" width="10.44140625" style="81" customWidth="1"/>
    <col min="9225" max="9225" width="10.6640625" style="81" customWidth="1"/>
    <col min="9226" max="9228" width="9.109375" style="81"/>
    <col min="9229" max="9229" width="15.33203125" style="81" customWidth="1"/>
    <col min="9230" max="9230" width="19.88671875" style="81" customWidth="1"/>
    <col min="9231" max="9231" width="18.109375" style="81" customWidth="1"/>
    <col min="9232" max="9474" width="9.109375" style="81"/>
    <col min="9475" max="9475" width="8.44140625" style="81" customWidth="1"/>
    <col min="9476" max="9476" width="10.109375" style="81" customWidth="1"/>
    <col min="9477" max="9477" width="11" style="81" customWidth="1"/>
    <col min="9478" max="9478" width="10.33203125" style="81" customWidth="1"/>
    <col min="9479" max="9479" width="10.6640625" style="81" customWidth="1"/>
    <col min="9480" max="9480" width="10.44140625" style="81" customWidth="1"/>
    <col min="9481" max="9481" width="10.6640625" style="81" customWidth="1"/>
    <col min="9482" max="9484" width="9.109375" style="81"/>
    <col min="9485" max="9485" width="15.33203125" style="81" customWidth="1"/>
    <col min="9486" max="9486" width="19.88671875" style="81" customWidth="1"/>
    <col min="9487" max="9487" width="18.109375" style="81" customWidth="1"/>
    <col min="9488" max="9730" width="9.109375" style="81"/>
    <col min="9731" max="9731" width="8.44140625" style="81" customWidth="1"/>
    <col min="9732" max="9732" width="10.109375" style="81" customWidth="1"/>
    <col min="9733" max="9733" width="11" style="81" customWidth="1"/>
    <col min="9734" max="9734" width="10.33203125" style="81" customWidth="1"/>
    <col min="9735" max="9735" width="10.6640625" style="81" customWidth="1"/>
    <col min="9736" max="9736" width="10.44140625" style="81" customWidth="1"/>
    <col min="9737" max="9737" width="10.6640625" style="81" customWidth="1"/>
    <col min="9738" max="9740" width="9.109375" style="81"/>
    <col min="9741" max="9741" width="15.33203125" style="81" customWidth="1"/>
    <col min="9742" max="9742" width="19.88671875" style="81" customWidth="1"/>
    <col min="9743" max="9743" width="18.109375" style="81" customWidth="1"/>
    <col min="9744" max="9986" width="9.109375" style="81"/>
    <col min="9987" max="9987" width="8.44140625" style="81" customWidth="1"/>
    <col min="9988" max="9988" width="10.109375" style="81" customWidth="1"/>
    <col min="9989" max="9989" width="11" style="81" customWidth="1"/>
    <col min="9990" max="9990" width="10.33203125" style="81" customWidth="1"/>
    <col min="9991" max="9991" width="10.6640625" style="81" customWidth="1"/>
    <col min="9992" max="9992" width="10.44140625" style="81" customWidth="1"/>
    <col min="9993" max="9993" width="10.6640625" style="81" customWidth="1"/>
    <col min="9994" max="9996" width="9.109375" style="81"/>
    <col min="9997" max="9997" width="15.33203125" style="81" customWidth="1"/>
    <col min="9998" max="9998" width="19.88671875" style="81" customWidth="1"/>
    <col min="9999" max="9999" width="18.109375" style="81" customWidth="1"/>
    <col min="10000" max="10242" width="9.109375" style="81"/>
    <col min="10243" max="10243" width="8.44140625" style="81" customWidth="1"/>
    <col min="10244" max="10244" width="10.109375" style="81" customWidth="1"/>
    <col min="10245" max="10245" width="11" style="81" customWidth="1"/>
    <col min="10246" max="10246" width="10.33203125" style="81" customWidth="1"/>
    <col min="10247" max="10247" width="10.6640625" style="81" customWidth="1"/>
    <col min="10248" max="10248" width="10.44140625" style="81" customWidth="1"/>
    <col min="10249" max="10249" width="10.6640625" style="81" customWidth="1"/>
    <col min="10250" max="10252" width="9.109375" style="81"/>
    <col min="10253" max="10253" width="15.33203125" style="81" customWidth="1"/>
    <col min="10254" max="10254" width="19.88671875" style="81" customWidth="1"/>
    <col min="10255" max="10255" width="18.109375" style="81" customWidth="1"/>
    <col min="10256" max="10498" width="9.109375" style="81"/>
    <col min="10499" max="10499" width="8.44140625" style="81" customWidth="1"/>
    <col min="10500" max="10500" width="10.109375" style="81" customWidth="1"/>
    <col min="10501" max="10501" width="11" style="81" customWidth="1"/>
    <col min="10502" max="10502" width="10.33203125" style="81" customWidth="1"/>
    <col min="10503" max="10503" width="10.6640625" style="81" customWidth="1"/>
    <col min="10504" max="10504" width="10.44140625" style="81" customWidth="1"/>
    <col min="10505" max="10505" width="10.6640625" style="81" customWidth="1"/>
    <col min="10506" max="10508" width="9.109375" style="81"/>
    <col min="10509" max="10509" width="15.33203125" style="81" customWidth="1"/>
    <col min="10510" max="10510" width="19.88671875" style="81" customWidth="1"/>
    <col min="10511" max="10511" width="18.109375" style="81" customWidth="1"/>
    <col min="10512" max="10754" width="9.109375" style="81"/>
    <col min="10755" max="10755" width="8.44140625" style="81" customWidth="1"/>
    <col min="10756" max="10756" width="10.109375" style="81" customWidth="1"/>
    <col min="10757" max="10757" width="11" style="81" customWidth="1"/>
    <col min="10758" max="10758" width="10.33203125" style="81" customWidth="1"/>
    <col min="10759" max="10759" width="10.6640625" style="81" customWidth="1"/>
    <col min="10760" max="10760" width="10.44140625" style="81" customWidth="1"/>
    <col min="10761" max="10761" width="10.6640625" style="81" customWidth="1"/>
    <col min="10762" max="10764" width="9.109375" style="81"/>
    <col min="10765" max="10765" width="15.33203125" style="81" customWidth="1"/>
    <col min="10766" max="10766" width="19.88671875" style="81" customWidth="1"/>
    <col min="10767" max="10767" width="18.109375" style="81" customWidth="1"/>
    <col min="10768" max="11010" width="9.109375" style="81"/>
    <col min="11011" max="11011" width="8.44140625" style="81" customWidth="1"/>
    <col min="11012" max="11012" width="10.109375" style="81" customWidth="1"/>
    <col min="11013" max="11013" width="11" style="81" customWidth="1"/>
    <col min="11014" max="11014" width="10.33203125" style="81" customWidth="1"/>
    <col min="11015" max="11015" width="10.6640625" style="81" customWidth="1"/>
    <col min="11016" max="11016" width="10.44140625" style="81" customWidth="1"/>
    <col min="11017" max="11017" width="10.6640625" style="81" customWidth="1"/>
    <col min="11018" max="11020" width="9.109375" style="81"/>
    <col min="11021" max="11021" width="15.33203125" style="81" customWidth="1"/>
    <col min="11022" max="11022" width="19.88671875" style="81" customWidth="1"/>
    <col min="11023" max="11023" width="18.109375" style="81" customWidth="1"/>
    <col min="11024" max="11266" width="9.109375" style="81"/>
    <col min="11267" max="11267" width="8.44140625" style="81" customWidth="1"/>
    <col min="11268" max="11268" width="10.109375" style="81" customWidth="1"/>
    <col min="11269" max="11269" width="11" style="81" customWidth="1"/>
    <col min="11270" max="11270" width="10.33203125" style="81" customWidth="1"/>
    <col min="11271" max="11271" width="10.6640625" style="81" customWidth="1"/>
    <col min="11272" max="11272" width="10.44140625" style="81" customWidth="1"/>
    <col min="11273" max="11273" width="10.6640625" style="81" customWidth="1"/>
    <col min="11274" max="11276" width="9.109375" style="81"/>
    <col min="11277" max="11277" width="15.33203125" style="81" customWidth="1"/>
    <col min="11278" max="11278" width="19.88671875" style="81" customWidth="1"/>
    <col min="11279" max="11279" width="18.109375" style="81" customWidth="1"/>
    <col min="11280" max="11522" width="9.109375" style="81"/>
    <col min="11523" max="11523" width="8.44140625" style="81" customWidth="1"/>
    <col min="11524" max="11524" width="10.109375" style="81" customWidth="1"/>
    <col min="11525" max="11525" width="11" style="81" customWidth="1"/>
    <col min="11526" max="11526" width="10.33203125" style="81" customWidth="1"/>
    <col min="11527" max="11527" width="10.6640625" style="81" customWidth="1"/>
    <col min="11528" max="11528" width="10.44140625" style="81" customWidth="1"/>
    <col min="11529" max="11529" width="10.6640625" style="81" customWidth="1"/>
    <col min="11530" max="11532" width="9.109375" style="81"/>
    <col min="11533" max="11533" width="15.33203125" style="81" customWidth="1"/>
    <col min="11534" max="11534" width="19.88671875" style="81" customWidth="1"/>
    <col min="11535" max="11535" width="18.109375" style="81" customWidth="1"/>
    <col min="11536" max="11778" width="9.109375" style="81"/>
    <col min="11779" max="11779" width="8.44140625" style="81" customWidth="1"/>
    <col min="11780" max="11780" width="10.109375" style="81" customWidth="1"/>
    <col min="11781" max="11781" width="11" style="81" customWidth="1"/>
    <col min="11782" max="11782" width="10.33203125" style="81" customWidth="1"/>
    <col min="11783" max="11783" width="10.6640625" style="81" customWidth="1"/>
    <col min="11784" max="11784" width="10.44140625" style="81" customWidth="1"/>
    <col min="11785" max="11785" width="10.6640625" style="81" customWidth="1"/>
    <col min="11786" max="11788" width="9.109375" style="81"/>
    <col min="11789" max="11789" width="15.33203125" style="81" customWidth="1"/>
    <col min="11790" max="11790" width="19.88671875" style="81" customWidth="1"/>
    <col min="11791" max="11791" width="18.109375" style="81" customWidth="1"/>
    <col min="11792" max="12034" width="9.109375" style="81"/>
    <col min="12035" max="12035" width="8.44140625" style="81" customWidth="1"/>
    <col min="12036" max="12036" width="10.109375" style="81" customWidth="1"/>
    <col min="12037" max="12037" width="11" style="81" customWidth="1"/>
    <col min="12038" max="12038" width="10.33203125" style="81" customWidth="1"/>
    <col min="12039" max="12039" width="10.6640625" style="81" customWidth="1"/>
    <col min="12040" max="12040" width="10.44140625" style="81" customWidth="1"/>
    <col min="12041" max="12041" width="10.6640625" style="81" customWidth="1"/>
    <col min="12042" max="12044" width="9.109375" style="81"/>
    <col min="12045" max="12045" width="15.33203125" style="81" customWidth="1"/>
    <col min="12046" max="12046" width="19.88671875" style="81" customWidth="1"/>
    <col min="12047" max="12047" width="18.109375" style="81" customWidth="1"/>
    <col min="12048" max="12290" width="9.109375" style="81"/>
    <col min="12291" max="12291" width="8.44140625" style="81" customWidth="1"/>
    <col min="12292" max="12292" width="10.109375" style="81" customWidth="1"/>
    <col min="12293" max="12293" width="11" style="81" customWidth="1"/>
    <col min="12294" max="12294" width="10.33203125" style="81" customWidth="1"/>
    <col min="12295" max="12295" width="10.6640625" style="81" customWidth="1"/>
    <col min="12296" max="12296" width="10.44140625" style="81" customWidth="1"/>
    <col min="12297" max="12297" width="10.6640625" style="81" customWidth="1"/>
    <col min="12298" max="12300" width="9.109375" style="81"/>
    <col min="12301" max="12301" width="15.33203125" style="81" customWidth="1"/>
    <col min="12302" max="12302" width="19.88671875" style="81" customWidth="1"/>
    <col min="12303" max="12303" width="18.109375" style="81" customWidth="1"/>
    <col min="12304" max="12546" width="9.109375" style="81"/>
    <col min="12547" max="12547" width="8.44140625" style="81" customWidth="1"/>
    <col min="12548" max="12548" width="10.109375" style="81" customWidth="1"/>
    <col min="12549" max="12549" width="11" style="81" customWidth="1"/>
    <col min="12550" max="12550" width="10.33203125" style="81" customWidth="1"/>
    <col min="12551" max="12551" width="10.6640625" style="81" customWidth="1"/>
    <col min="12552" max="12552" width="10.44140625" style="81" customWidth="1"/>
    <col min="12553" max="12553" width="10.6640625" style="81" customWidth="1"/>
    <col min="12554" max="12556" width="9.109375" style="81"/>
    <col min="12557" max="12557" width="15.33203125" style="81" customWidth="1"/>
    <col min="12558" max="12558" width="19.88671875" style="81" customWidth="1"/>
    <col min="12559" max="12559" width="18.109375" style="81" customWidth="1"/>
    <col min="12560" max="12802" width="9.109375" style="81"/>
    <col min="12803" max="12803" width="8.44140625" style="81" customWidth="1"/>
    <col min="12804" max="12804" width="10.109375" style="81" customWidth="1"/>
    <col min="12805" max="12805" width="11" style="81" customWidth="1"/>
    <col min="12806" max="12806" width="10.33203125" style="81" customWidth="1"/>
    <col min="12807" max="12807" width="10.6640625" style="81" customWidth="1"/>
    <col min="12808" max="12808" width="10.44140625" style="81" customWidth="1"/>
    <col min="12809" max="12809" width="10.6640625" style="81" customWidth="1"/>
    <col min="12810" max="12812" width="9.109375" style="81"/>
    <col min="12813" max="12813" width="15.33203125" style="81" customWidth="1"/>
    <col min="12814" max="12814" width="19.88671875" style="81" customWidth="1"/>
    <col min="12815" max="12815" width="18.109375" style="81" customWidth="1"/>
    <col min="12816" max="13058" width="9.109375" style="81"/>
    <col min="13059" max="13059" width="8.44140625" style="81" customWidth="1"/>
    <col min="13060" max="13060" width="10.109375" style="81" customWidth="1"/>
    <col min="13061" max="13061" width="11" style="81" customWidth="1"/>
    <col min="13062" max="13062" width="10.33203125" style="81" customWidth="1"/>
    <col min="13063" max="13063" width="10.6640625" style="81" customWidth="1"/>
    <col min="13064" max="13064" width="10.44140625" style="81" customWidth="1"/>
    <col min="13065" max="13065" width="10.6640625" style="81" customWidth="1"/>
    <col min="13066" max="13068" width="9.109375" style="81"/>
    <col min="13069" max="13069" width="15.33203125" style="81" customWidth="1"/>
    <col min="13070" max="13070" width="19.88671875" style="81" customWidth="1"/>
    <col min="13071" max="13071" width="18.109375" style="81" customWidth="1"/>
    <col min="13072" max="13314" width="9.109375" style="81"/>
    <col min="13315" max="13315" width="8.44140625" style="81" customWidth="1"/>
    <col min="13316" max="13316" width="10.109375" style="81" customWidth="1"/>
    <col min="13317" max="13317" width="11" style="81" customWidth="1"/>
    <col min="13318" max="13318" width="10.33203125" style="81" customWidth="1"/>
    <col min="13319" max="13319" width="10.6640625" style="81" customWidth="1"/>
    <col min="13320" max="13320" width="10.44140625" style="81" customWidth="1"/>
    <col min="13321" max="13321" width="10.6640625" style="81" customWidth="1"/>
    <col min="13322" max="13324" width="9.109375" style="81"/>
    <col min="13325" max="13325" width="15.33203125" style="81" customWidth="1"/>
    <col min="13326" max="13326" width="19.88671875" style="81" customWidth="1"/>
    <col min="13327" max="13327" width="18.109375" style="81" customWidth="1"/>
    <col min="13328" max="13570" width="9.109375" style="81"/>
    <col min="13571" max="13571" width="8.44140625" style="81" customWidth="1"/>
    <col min="13572" max="13572" width="10.109375" style="81" customWidth="1"/>
    <col min="13573" max="13573" width="11" style="81" customWidth="1"/>
    <col min="13574" max="13574" width="10.33203125" style="81" customWidth="1"/>
    <col min="13575" max="13575" width="10.6640625" style="81" customWidth="1"/>
    <col min="13576" max="13576" width="10.44140625" style="81" customWidth="1"/>
    <col min="13577" max="13577" width="10.6640625" style="81" customWidth="1"/>
    <col min="13578" max="13580" width="9.109375" style="81"/>
    <col min="13581" max="13581" width="15.33203125" style="81" customWidth="1"/>
    <col min="13582" max="13582" width="19.88671875" style="81" customWidth="1"/>
    <col min="13583" max="13583" width="18.109375" style="81" customWidth="1"/>
    <col min="13584" max="13826" width="9.109375" style="81"/>
    <col min="13827" max="13827" width="8.44140625" style="81" customWidth="1"/>
    <col min="13828" max="13828" width="10.109375" style="81" customWidth="1"/>
    <col min="13829" max="13829" width="11" style="81" customWidth="1"/>
    <col min="13830" max="13830" width="10.33203125" style="81" customWidth="1"/>
    <col min="13831" max="13831" width="10.6640625" style="81" customWidth="1"/>
    <col min="13832" max="13832" width="10.44140625" style="81" customWidth="1"/>
    <col min="13833" max="13833" width="10.6640625" style="81" customWidth="1"/>
    <col min="13834" max="13836" width="9.109375" style="81"/>
    <col min="13837" max="13837" width="15.33203125" style="81" customWidth="1"/>
    <col min="13838" max="13838" width="19.88671875" style="81" customWidth="1"/>
    <col min="13839" max="13839" width="18.109375" style="81" customWidth="1"/>
    <col min="13840" max="14082" width="9.109375" style="81"/>
    <col min="14083" max="14083" width="8.44140625" style="81" customWidth="1"/>
    <col min="14084" max="14084" width="10.109375" style="81" customWidth="1"/>
    <col min="14085" max="14085" width="11" style="81" customWidth="1"/>
    <col min="14086" max="14086" width="10.33203125" style="81" customWidth="1"/>
    <col min="14087" max="14087" width="10.6640625" style="81" customWidth="1"/>
    <col min="14088" max="14088" width="10.44140625" style="81" customWidth="1"/>
    <col min="14089" max="14089" width="10.6640625" style="81" customWidth="1"/>
    <col min="14090" max="14092" width="9.109375" style="81"/>
    <col min="14093" max="14093" width="15.33203125" style="81" customWidth="1"/>
    <col min="14094" max="14094" width="19.88671875" style="81" customWidth="1"/>
    <col min="14095" max="14095" width="18.109375" style="81" customWidth="1"/>
    <col min="14096" max="14338" width="9.109375" style="81"/>
    <col min="14339" max="14339" width="8.44140625" style="81" customWidth="1"/>
    <col min="14340" max="14340" width="10.109375" style="81" customWidth="1"/>
    <col min="14341" max="14341" width="11" style="81" customWidth="1"/>
    <col min="14342" max="14342" width="10.33203125" style="81" customWidth="1"/>
    <col min="14343" max="14343" width="10.6640625" style="81" customWidth="1"/>
    <col min="14344" max="14344" width="10.44140625" style="81" customWidth="1"/>
    <col min="14345" max="14345" width="10.6640625" style="81" customWidth="1"/>
    <col min="14346" max="14348" width="9.109375" style="81"/>
    <col min="14349" max="14349" width="15.33203125" style="81" customWidth="1"/>
    <col min="14350" max="14350" width="19.88671875" style="81" customWidth="1"/>
    <col min="14351" max="14351" width="18.109375" style="81" customWidth="1"/>
    <col min="14352" max="14594" width="9.109375" style="81"/>
    <col min="14595" max="14595" width="8.44140625" style="81" customWidth="1"/>
    <col min="14596" max="14596" width="10.109375" style="81" customWidth="1"/>
    <col min="14597" max="14597" width="11" style="81" customWidth="1"/>
    <col min="14598" max="14598" width="10.33203125" style="81" customWidth="1"/>
    <col min="14599" max="14599" width="10.6640625" style="81" customWidth="1"/>
    <col min="14600" max="14600" width="10.44140625" style="81" customWidth="1"/>
    <col min="14601" max="14601" width="10.6640625" style="81" customWidth="1"/>
    <col min="14602" max="14604" width="9.109375" style="81"/>
    <col min="14605" max="14605" width="15.33203125" style="81" customWidth="1"/>
    <col min="14606" max="14606" width="19.88671875" style="81" customWidth="1"/>
    <col min="14607" max="14607" width="18.109375" style="81" customWidth="1"/>
    <col min="14608" max="14850" width="9.109375" style="81"/>
    <col min="14851" max="14851" width="8.44140625" style="81" customWidth="1"/>
    <col min="14852" max="14852" width="10.109375" style="81" customWidth="1"/>
    <col min="14853" max="14853" width="11" style="81" customWidth="1"/>
    <col min="14854" max="14854" width="10.33203125" style="81" customWidth="1"/>
    <col min="14855" max="14855" width="10.6640625" style="81" customWidth="1"/>
    <col min="14856" max="14856" width="10.44140625" style="81" customWidth="1"/>
    <col min="14857" max="14857" width="10.6640625" style="81" customWidth="1"/>
    <col min="14858" max="14860" width="9.109375" style="81"/>
    <col min="14861" max="14861" width="15.33203125" style="81" customWidth="1"/>
    <col min="14862" max="14862" width="19.88671875" style="81" customWidth="1"/>
    <col min="14863" max="14863" width="18.109375" style="81" customWidth="1"/>
    <col min="14864" max="15106" width="9.109375" style="81"/>
    <col min="15107" max="15107" width="8.44140625" style="81" customWidth="1"/>
    <col min="15108" max="15108" width="10.109375" style="81" customWidth="1"/>
    <col min="15109" max="15109" width="11" style="81" customWidth="1"/>
    <col min="15110" max="15110" width="10.33203125" style="81" customWidth="1"/>
    <col min="15111" max="15111" width="10.6640625" style="81" customWidth="1"/>
    <col min="15112" max="15112" width="10.44140625" style="81" customWidth="1"/>
    <col min="15113" max="15113" width="10.6640625" style="81" customWidth="1"/>
    <col min="15114" max="15116" width="9.109375" style="81"/>
    <col min="15117" max="15117" width="15.33203125" style="81" customWidth="1"/>
    <col min="15118" max="15118" width="19.88671875" style="81" customWidth="1"/>
    <col min="15119" max="15119" width="18.109375" style="81" customWidth="1"/>
    <col min="15120" max="15362" width="9.109375" style="81"/>
    <col min="15363" max="15363" width="8.44140625" style="81" customWidth="1"/>
    <col min="15364" max="15364" width="10.109375" style="81" customWidth="1"/>
    <col min="15365" max="15365" width="11" style="81" customWidth="1"/>
    <col min="15366" max="15366" width="10.33203125" style="81" customWidth="1"/>
    <col min="15367" max="15367" width="10.6640625" style="81" customWidth="1"/>
    <col min="15368" max="15368" width="10.44140625" style="81" customWidth="1"/>
    <col min="15369" max="15369" width="10.6640625" style="81" customWidth="1"/>
    <col min="15370" max="15372" width="9.109375" style="81"/>
    <col min="15373" max="15373" width="15.33203125" style="81" customWidth="1"/>
    <col min="15374" max="15374" width="19.88671875" style="81" customWidth="1"/>
    <col min="15375" max="15375" width="18.109375" style="81" customWidth="1"/>
    <col min="15376" max="15618" width="9.109375" style="81"/>
    <col min="15619" max="15619" width="8.44140625" style="81" customWidth="1"/>
    <col min="15620" max="15620" width="10.109375" style="81" customWidth="1"/>
    <col min="15621" max="15621" width="11" style="81" customWidth="1"/>
    <col min="15622" max="15622" width="10.33203125" style="81" customWidth="1"/>
    <col min="15623" max="15623" width="10.6640625" style="81" customWidth="1"/>
    <col min="15624" max="15624" width="10.44140625" style="81" customWidth="1"/>
    <col min="15625" max="15625" width="10.6640625" style="81" customWidth="1"/>
    <col min="15626" max="15628" width="9.109375" style="81"/>
    <col min="15629" max="15629" width="15.33203125" style="81" customWidth="1"/>
    <col min="15630" max="15630" width="19.88671875" style="81" customWidth="1"/>
    <col min="15631" max="15631" width="18.109375" style="81" customWidth="1"/>
    <col min="15632" max="15874" width="9.109375" style="81"/>
    <col min="15875" max="15875" width="8.44140625" style="81" customWidth="1"/>
    <col min="15876" max="15876" width="10.109375" style="81" customWidth="1"/>
    <col min="15877" max="15877" width="11" style="81" customWidth="1"/>
    <col min="15878" max="15878" width="10.33203125" style="81" customWidth="1"/>
    <col min="15879" max="15879" width="10.6640625" style="81" customWidth="1"/>
    <col min="15880" max="15880" width="10.44140625" style="81" customWidth="1"/>
    <col min="15881" max="15881" width="10.6640625" style="81" customWidth="1"/>
    <col min="15882" max="15884" width="9.109375" style="81"/>
    <col min="15885" max="15885" width="15.33203125" style="81" customWidth="1"/>
    <col min="15886" max="15886" width="19.88671875" style="81" customWidth="1"/>
    <col min="15887" max="15887" width="18.109375" style="81" customWidth="1"/>
    <col min="15888" max="16130" width="9.109375" style="81"/>
    <col min="16131" max="16131" width="8.44140625" style="81" customWidth="1"/>
    <col min="16132" max="16132" width="10.109375" style="81" customWidth="1"/>
    <col min="16133" max="16133" width="11" style="81" customWidth="1"/>
    <col min="16134" max="16134" width="10.33203125" style="81" customWidth="1"/>
    <col min="16135" max="16135" width="10.6640625" style="81" customWidth="1"/>
    <col min="16136" max="16136" width="10.44140625" style="81" customWidth="1"/>
    <col min="16137" max="16137" width="10.6640625" style="81" customWidth="1"/>
    <col min="16138" max="16140" width="9.109375" style="81"/>
    <col min="16141" max="16141" width="15.33203125" style="81" customWidth="1"/>
    <col min="16142" max="16142" width="19.88671875" style="81" customWidth="1"/>
    <col min="16143" max="16143" width="18.109375" style="81" customWidth="1"/>
    <col min="16144" max="16384" width="9.109375" style="81"/>
  </cols>
  <sheetData>
    <row r="1" spans="2:11" x14ac:dyDescent="0.3">
      <c r="H1" s="82"/>
    </row>
    <row r="2" spans="2:11" x14ac:dyDescent="0.3">
      <c r="B2" s="81" t="s">
        <v>84</v>
      </c>
    </row>
    <row r="5" spans="2:11" x14ac:dyDescent="0.3">
      <c r="E5" s="83"/>
    </row>
    <row r="6" spans="2:11" x14ac:dyDescent="0.3">
      <c r="B6" s="81" t="s">
        <v>167</v>
      </c>
    </row>
    <row r="7" spans="2:11" ht="16.2" thickBot="1" x14ac:dyDescent="0.35"/>
    <row r="8" spans="2:11" ht="93.6" x14ac:dyDescent="0.3">
      <c r="B8" s="84"/>
      <c r="C8" s="85" t="s">
        <v>94</v>
      </c>
      <c r="D8" s="85" t="s">
        <v>166</v>
      </c>
      <c r="E8" s="85" t="s">
        <v>85</v>
      </c>
      <c r="F8" s="85" t="s">
        <v>86</v>
      </c>
      <c r="G8" s="85" t="s">
        <v>87</v>
      </c>
      <c r="H8" s="85" t="s">
        <v>88</v>
      </c>
      <c r="I8" s="86" t="s">
        <v>89</v>
      </c>
    </row>
    <row r="9" spans="2:11" x14ac:dyDescent="0.3">
      <c r="B9" s="142">
        <v>1</v>
      </c>
      <c r="C9" s="88"/>
      <c r="D9" s="89">
        <f>B9+1</f>
        <v>2</v>
      </c>
      <c r="E9" s="89">
        <f>D9+1</f>
        <v>3</v>
      </c>
      <c r="F9" s="90">
        <f>E9+1</f>
        <v>4</v>
      </c>
      <c r="G9" s="141">
        <v>5</v>
      </c>
      <c r="H9" s="89">
        <v>6</v>
      </c>
      <c r="I9" s="91">
        <v>7</v>
      </c>
    </row>
    <row r="10" spans="2:11" x14ac:dyDescent="0.3">
      <c r="B10" s="87" t="s">
        <v>90</v>
      </c>
      <c r="C10" s="92">
        <v>43686</v>
      </c>
      <c r="D10" s="93">
        <v>0.5</v>
      </c>
      <c r="E10" s="94">
        <v>1000000</v>
      </c>
      <c r="F10" s="94">
        <f>D10*E10</f>
        <v>500000</v>
      </c>
      <c r="G10" s="95">
        <f>E10*D10</f>
        <v>500000</v>
      </c>
      <c r="H10" s="96">
        <v>1000000</v>
      </c>
      <c r="I10" s="97">
        <f>H10-G10</f>
        <v>500000</v>
      </c>
      <c r="J10" s="98"/>
    </row>
    <row r="11" spans="2:11" x14ac:dyDescent="0.3">
      <c r="B11" s="87" t="s">
        <v>91</v>
      </c>
      <c r="C11" s="92">
        <v>43839</v>
      </c>
      <c r="D11" s="93">
        <v>0.25</v>
      </c>
      <c r="E11" s="94">
        <v>1200000</v>
      </c>
      <c r="F11" s="94">
        <f>G11+G10</f>
        <v>800000</v>
      </c>
      <c r="G11" s="95">
        <f>E11*D11</f>
        <v>300000</v>
      </c>
      <c r="H11" s="96">
        <v>700000</v>
      </c>
      <c r="I11" s="97">
        <f>H11-G11</f>
        <v>400000</v>
      </c>
      <c r="J11" s="98"/>
    </row>
    <row r="12" spans="2:11" x14ac:dyDescent="0.3">
      <c r="B12" s="87" t="s">
        <v>92</v>
      </c>
      <c r="C12" s="92">
        <v>45657</v>
      </c>
      <c r="D12" s="93">
        <v>0.25</v>
      </c>
      <c r="E12" s="94">
        <v>2000000</v>
      </c>
      <c r="F12" s="94">
        <f>G12+G11+G10</f>
        <v>1300000</v>
      </c>
      <c r="G12" s="95">
        <f>E12*D12</f>
        <v>500000</v>
      </c>
      <c r="H12" s="96">
        <v>2946000</v>
      </c>
      <c r="I12" s="97">
        <f>H12-G12</f>
        <v>2446000</v>
      </c>
    </row>
    <row r="13" spans="2:11" x14ac:dyDescent="0.3">
      <c r="B13" s="87"/>
      <c r="C13" s="88"/>
      <c r="D13" s="96"/>
      <c r="E13" s="96"/>
      <c r="F13" s="96"/>
      <c r="G13" s="96"/>
      <c r="H13" s="96"/>
      <c r="I13" s="97"/>
      <c r="J13" s="98"/>
      <c r="K13" s="98"/>
    </row>
    <row r="14" spans="2:11" x14ac:dyDescent="0.3">
      <c r="B14" s="87" t="s">
        <v>93</v>
      </c>
      <c r="C14" s="88"/>
      <c r="D14" s="96"/>
      <c r="E14" s="96"/>
      <c r="F14" s="96">
        <f>SUM(F10:F12)</f>
        <v>2600000</v>
      </c>
      <c r="G14" s="96">
        <f>SUM(G10:G12)</f>
        <v>1300000</v>
      </c>
      <c r="H14" s="96">
        <f>SUM(H10:H12)</f>
        <v>4646000</v>
      </c>
      <c r="I14" s="96">
        <f>SUM(I10:I12)</f>
        <v>3346000</v>
      </c>
      <c r="J14" s="98"/>
    </row>
    <row r="15" spans="2:11" ht="16.2" thickBot="1" x14ac:dyDescent="0.35">
      <c r="B15" s="99"/>
      <c r="C15" s="100"/>
      <c r="D15" s="101"/>
      <c r="E15" s="101"/>
      <c r="F15" s="101"/>
      <c r="G15" s="102"/>
      <c r="H15" s="101"/>
      <c r="I15" s="103"/>
      <c r="J15" s="98"/>
    </row>
    <row r="16" spans="2:11" x14ac:dyDescent="0.3">
      <c r="D16" s="98"/>
      <c r="E16" s="98"/>
      <c r="F16" s="98"/>
      <c r="G16" s="98"/>
      <c r="H16" s="98"/>
    </row>
    <row r="17" spans="4:9" x14ac:dyDescent="0.3">
      <c r="D17" s="98"/>
      <c r="E17" s="98"/>
      <c r="F17" s="98"/>
      <c r="H17" s="98"/>
      <c r="I17" s="98"/>
    </row>
    <row r="19" spans="4:9" x14ac:dyDescent="0.3">
      <c r="H19" s="98"/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k.6. SA umorzenie akcji</vt:lpstr>
      <vt:lpstr>k. 9 Połączenie spółek</vt:lpstr>
      <vt:lpstr>k.10 połącz - etapowo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2025-09-21T20:28:09Z</dcterms:modified>
</cp:coreProperties>
</file>